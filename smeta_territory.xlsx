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 (территория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<sst xmlns="http://schemas.openxmlformats.org/spreadsheetml/2006/main" count="34" uniqueCount="34">
  <si>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Смета — Уборка территории ГБУ г. Москвы «ГЦПиКР»</t>
  </si>
  <si>
    <t xml:space="preserve">Модель: аренда техники по вызову (не свой тракторист)</t>
  </si>
  <si>
    <t xml:space="preserve">Дата формирования: 2026-09-18</t>
  </si>
  <si>
    <t xml:space="preserve">Жёлтые ячейки — ключевые допущения, отредактируйте под реальные условия</t>
  </si>
  <si>
    <t xml:space="preserve">1. Аренда техники — уборка снега (по вызову)</t>
  </si>
  <si>
    <t xml:space="preserve">Площадь, подлежащая уборке от снега, м² (из ТЗ, 2027 — чистый год)</t>
  </si>
  <si>
    <t xml:space="preserve">Стоимость смены техники, ₽ (трактор+оператор, 8ч, аренда по вызову)</t>
  </si>
  <si>
    <t xml:space="preserve">Источник: рыночная цена аренды трактора с оператором, см. чат</t>
  </si>
  <si>
    <t xml:space="preserve">Реальная производительность за смену, м²/смену</t>
  </si>
  <si>
    <t xml:space="preserve">Теоретическая заводская — 27800 м²/час (222400 м²/смена); здесь — консервативная оценка с поправкой на городские условия. ПРОВЕРИТЬ с реальным подрядчиком.</t>
  </si>
  <si>
    <t xml:space="preserve">Смен техники нужно на одно событие (снегопад)</t>
  </si>
  <si>
    <t xml:space="preserve">Событий (дней со снегопадом) за контракт</t>
  </si>
  <si>
    <t xml:space="preserve">Климатическая норма: 116 дней/год со снегом (Росгидромет) — это ВЕРХНЯЯ ГРАНИЦА; часть лёгких снегопадов может не требовать полного вызова техники. ПРОВЕРИТЬ/скорректировать по факту.</t>
  </si>
  <si>
    <t xml:space="preserve">Итого смен техники за контракт</t>
  </si>
  <si>
    <t xml:space="preserve">ИТОГО аренда техники за контракт</t>
  </si>
  <si>
    <t xml:space="preserve">2. Противогололедные материалы</t>
  </si>
  <si>
    <t xml:space="preserve">Площадь для посыпки, м² (из ТЗ, 2027)</t>
  </si>
  <si>
    <t xml:space="preserve">Норма расхода, г/м² за обработку</t>
  </si>
  <si>
    <t xml:space="preserve">Отраслевой ориентир (50-70 г/м²), не таблица 762-ПП (не раскрыта в доступном фрагменте)</t>
  </si>
  <si>
    <t xml:space="preserve">Обработок за контракт</t>
  </si>
  <si>
    <t xml:space="preserve">Используем ту же оценку, что и для смен техники — ПРОВЕРИТЬ отдельно, обработка ПГМ не всегда совпадает с каждым вызовом техники</t>
  </si>
  <si>
    <t xml:space="preserve">Итого материала, кг</t>
  </si>
  <si>
    <t xml:space="preserve">Цена за кг, ₽</t>
  </si>
  <si>
    <t xml:space="preserve">ЗАГЛУШКА — не найдено в наших прайсах (они под клининг помещений, не стройматериалы/ПГМ). Нужен отдельный поставщик, уточнить цену.</t>
  </si>
  <si>
    <t xml:space="preserve">ИТОГО материалы за контракт</t>
  </si>
  <si>
    <t xml:space="preserve">3. Ручная бригада (урны, кромки, места, недоступные технике)</t>
  </si>
  <si>
    <t xml:space="preserve">Численность (дворники)</t>
  </si>
  <si>
    <t xml:space="preserve">Оклад, ₽/мес</t>
  </si>
  <si>
    <t xml:space="preserve">Ближайший реальный ориентир из Табель.xlsx: 5/2, 10ч -&gt; 60,000 ₽ (выборка n=2, слабая — ПРОВЕРИТЬ)</t>
  </si>
  <si>
    <t xml:space="preserve">Срок контракта, мес</t>
  </si>
  <si>
    <t xml:space="preserve">ИТОГО ФОТ ручной бригады за контракт</t>
  </si>
  <si>
    <t xml:space="preserve">ИТОГО СЕБЕСТОИМОСТЬ (техника + материалы + ручная бригада)</t>
  </si>
  <si>
    <t xml:space="preserve">НЕ ВКЛЮЧЕНО в смету (не найдено надёжной интерпретации площади — см. чат): «Санитарное содержание (уборка)» (304 992,6 м² — не прошло проверку на здравый смысл), «Полив», «Мойка», «Очистка урны» (данные по ним из ТЗ извлечены не полностью). Наценка и НДС не добавлены — эта смета только себестоимость техники/материалов/бригады по снегу.</t>
  </si>
  <si>
    <t xml:space="preserve">Все жёлтые ячейки — допущения агента, требуют проверки эксперта/подрядчика прежде чем смета уйдёт заказчику.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</si>
</sst>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₽&quot;;\(#,##0.00&quot; ₽)&quot;;\-"/>
    <numFmt numFmtId="166" formatCode="General"/>
    <numFmt numFmtId="167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3" t="s">
        <v>5</v>
      </c>
      <c r="B8" s="6" t="n">
        <v>153640.2</v>
      </c>
    </row>
    <row r="9" customFormat="false" ht="15" hidden="false" customHeight="false" outlineLevel="0" collapsed="false">
      <c r="A9" s="3" t="s">
        <v>6</v>
      </c>
      <c r="B9" s="7" t="n">
        <v>5400</v>
      </c>
      <c r="E9" s="8" t="s">
        <v>7</v>
      </c>
    </row>
    <row r="10" customFormat="false" ht="15" hidden="false" customHeight="false" outlineLevel="0" collapsed="false">
      <c r="A10" s="3" t="s">
        <v>8</v>
      </c>
      <c r="B10" s="9" t="n">
        <v>40000</v>
      </c>
      <c r="E10" s="8" t="s">
        <v>9</v>
      </c>
    </row>
    <row r="12" customFormat="false" ht="15" hidden="false" customHeight="false" outlineLevel="0" collapsed="false">
      <c r="A12" s="3" t="s">
        <v>10</v>
      </c>
      <c r="B12" s="10" t="n">
        <f aca="false">ROUNDUP(B8/B10,0)</f>
        <v>4</v>
      </c>
    </row>
    <row r="13" customFormat="false" ht="15" hidden="false" customHeight="false" outlineLevel="0" collapsed="false">
      <c r="A13" s="3" t="s">
        <v>11</v>
      </c>
      <c r="B13" s="9" t="n">
        <v>222</v>
      </c>
      <c r="E13" s="8" t="s">
        <v>12</v>
      </c>
    </row>
    <row r="15" customFormat="false" ht="15" hidden="false" customHeight="false" outlineLevel="0" collapsed="false">
      <c r="A15" s="3" t="s">
        <v>13</v>
      </c>
      <c r="B15" s="10" t="n">
        <f aca="false">B12*B13</f>
        <v>888</v>
      </c>
    </row>
    <row r="16" customFormat="false" ht="15" hidden="false" customHeight="false" outlineLevel="0" collapsed="false">
      <c r="A16" s="5" t="s">
        <v>14</v>
      </c>
      <c r="B16" s="11" t="n">
        <f aca="false">B15*B9</f>
        <v>4795200</v>
      </c>
    </row>
    <row r="18" customFormat="false" ht="15" hidden="false" customHeight="false" outlineLevel="0" collapsed="false">
      <c r="A18" s="5" t="s">
        <v>15</v>
      </c>
    </row>
    <row r="19" customFormat="false" ht="15" hidden="false" customHeight="false" outlineLevel="0" collapsed="false">
      <c r="A19" s="3" t="s">
        <v>16</v>
      </c>
      <c r="B19" s="6" t="n">
        <v>33608</v>
      </c>
    </row>
    <row r="20" customFormat="false" ht="15" hidden="false" customHeight="false" outlineLevel="0" collapsed="false">
      <c r="A20" s="3" t="s">
        <v>17</v>
      </c>
      <c r="B20" s="9" t="n">
        <v>60</v>
      </c>
      <c r="E20" s="8" t="s">
        <v>18</v>
      </c>
    </row>
    <row r="21" customFormat="false" ht="15" hidden="false" customHeight="false" outlineLevel="0" collapsed="false">
      <c r="A21" s="3" t="s">
        <v>19</v>
      </c>
      <c r="B21" s="9" t="n">
        <v>222</v>
      </c>
      <c r="E21" s="8" t="s">
        <v>20</v>
      </c>
    </row>
    <row r="23" customFormat="false" ht="15" hidden="false" customHeight="false" outlineLevel="0" collapsed="false">
      <c r="A23" s="3" t="s">
        <v>21</v>
      </c>
      <c r="B23" s="12" t="n">
        <f aca="false">B19*B20*B21/1000</f>
        <v>447658.56</v>
      </c>
    </row>
    <row r="24" customFormat="false" ht="15" hidden="false" customHeight="false" outlineLevel="0" collapsed="false">
      <c r="A24" s="3" t="s">
        <v>22</v>
      </c>
      <c r="B24" s="9" t="n">
        <v>20</v>
      </c>
      <c r="E24" s="8" t="s">
        <v>23</v>
      </c>
    </row>
    <row r="26" customFormat="false" ht="15" hidden="false" customHeight="false" outlineLevel="0" collapsed="false">
      <c r="A26" s="5" t="s">
        <v>24</v>
      </c>
      <c r="B26" s="11" t="n">
        <f aca="false">B23*B24</f>
        <v>8953171.2</v>
      </c>
    </row>
    <row r="28" customFormat="false" ht="15" hidden="false" customHeight="false" outlineLevel="0" collapsed="false">
      <c r="A28" s="5" t="s">
        <v>25</v>
      </c>
    </row>
    <row r="29" customFormat="false" ht="15" hidden="false" customHeight="false" outlineLevel="0" collapsed="false">
      <c r="A29" s="3" t="s">
        <v>26</v>
      </c>
      <c r="B29" s="9" t="n">
        <v>2</v>
      </c>
    </row>
    <row r="30" customFormat="false" ht="15" hidden="false" customHeight="false" outlineLevel="0" collapsed="false">
      <c r="A30" s="3" t="s">
        <v>27</v>
      </c>
      <c r="B30" s="7" t="n">
        <v>60000</v>
      </c>
      <c r="E30" s="8" t="s">
        <v>28</v>
      </c>
    </row>
    <row r="31" customFormat="false" ht="15" hidden="false" customHeight="false" outlineLevel="0" collapsed="false">
      <c r="A31" s="3" t="s">
        <v>29</v>
      </c>
      <c r="B31" s="9" t="n">
        <v>23</v>
      </c>
    </row>
    <row r="33" customFormat="false" ht="15" hidden="false" customHeight="false" outlineLevel="0" collapsed="false">
      <c r="A33" s="5" t="s">
        <v>30</v>
      </c>
      <c r="B33" s="11" t="n">
        <f aca="false">B29*B30*B31</f>
        <v>2760000</v>
      </c>
    </row>
    <row r="35" customFormat="false" ht="16.15" hidden="false" customHeight="false" outlineLevel="0" collapsed="false">
      <c r="A35" s="13" t="s">
        <v>31</v>
      </c>
      <c r="B35" s="14" t="n">
        <f aca="false">B16+B26+B33</f>
        <v>16508371.2</v>
      </c>
    </row>
    <row r="37" customFormat="false" ht="15" hidden="false" customHeight="false" outlineLevel="0" collapsed="false">
      <c r="A37" s="8" t="s">
        <v>32</v>
      </c>
    </row>
    <row r="38" customFormat="false" ht="15" hidden="false" customHeight="false" outlineLevel="0" collapsed="false">
      <c r="A38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2026-09-18T11:58:22Z</dcterms:created>
  <dc:creator>openpyxl</dc:creator>
  <dc:description/>
  <dc:language>en-US</dc:language>
  <cp:lastModifiedBy/>
  <dcterms:modified xsi:type="dcterms:W3CDTF">2026-09-18T11:58:22Z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