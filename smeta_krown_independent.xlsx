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ето" sheetId="1" state="visible" r:id="rId3"/>
    <sheet name="Зима"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<sst xmlns="http://schemas.openxmlformats.org/spreadsheetml/2006/main" count="160" uniqueCount="74">
  <si>
    <t xml:space="preserve">Независимая смета — Озерковская наб., 28 стр.3 (Лето)</t>
  </si>
  <si>
    <t xml:space="preserve">Дата: 2026-09-22 | Только наша база знаний — файл эксперта не использовался как источник</t>
  </si>
  <si>
    <t xml:space="preserve">Жёлтые ячейки — допущения из нашей базы</t>
  </si>
  <si>
    <t xml:space="preserve">1. Срок контракта</t>
  </si>
  <si>
    <t xml:space="preserve">Срок оказания услуг, мес</t>
  </si>
  <si>
    <t xml:space="preserve">Площадь помещений, м²</t>
  </si>
  <si>
    <t xml:space="preserve">2. Численность и ФОТ (лето)</t>
  </si>
  <si>
    <t xml:space="preserve">Должность</t>
  </si>
  <si>
    <t xml:space="preserve">Чел.</t>
  </si>
  <si>
    <t xml:space="preserve">Ставка, ₽/мес (наша база)</t>
  </si>
  <si>
    <t xml:space="preserve">Сумма, ₽</t>
  </si>
  <si>
    <t xml:space="preserve">Менеджер объекта</t>
  </si>
  <si>
    <t xml:space="preserve">Уборщик помещений (наша средняя ставка)</t>
  </si>
  <si>
    <t xml:space="preserve">Бригадир</t>
  </si>
  <si>
    <t xml:space="preserve">Дворник / Уборщик территории</t>
  </si>
  <si>
    <t xml:space="preserve">Оператор поломоечной машины</t>
  </si>
  <si>
    <t xml:space="preserve">Автомойщик</t>
  </si>
  <si>
    <t xml:space="preserve">Сотрудник мобильной бригады (спецработы)</t>
  </si>
  <si>
    <t xml:space="preserve">ИТОГО человек</t>
  </si>
  <si>
    <t xml:space="preserve">ФОТ/мес</t>
  </si>
  <si>
    <t xml:space="preserve">ФОТ-надбавка 30.2% (страховые взносы, обязательна)</t>
  </si>
  <si>
    <t xml:space="preserve">3. Расходные материалы (резолвер + механизированная норма)</t>
  </si>
  <si>
    <t xml:space="preserve">Материал</t>
  </si>
  <si>
    <t xml:space="preserve">Найдено в прайсе</t>
  </si>
  <si>
    <t xml:space="preserve">Поставщик</t>
  </si>
  <si>
    <t xml:space="preserve">Упаковок</t>
  </si>
  <si>
    <t xml:space="preserve">Цена/уп, ₽</t>
  </si>
  <si>
    <t xml:space="preserve">Сумма/мес, ₽</t>
  </si>
  <si>
    <t xml:space="preserve">Пакеты для мусора — крупные (для транс (26 шт)</t>
  </si>
  <si>
    <t xml:space="preserve">Мешки для мусора 35 л 20 ш (c0.67)</t>
  </si>
  <si>
    <t xml:space="preserve">ТК Сервис</t>
  </si>
  <si>
    <t xml:space="preserve">Пакеты для мусора — мелкие (для внутре (2280.57 шт)</t>
  </si>
  <si>
    <t xml:space="preserve">Мешки для мусора с тесьмой (c0.66)</t>
  </si>
  <si>
    <t xml:space="preserve">Чистящее средство для унитаза (31.94 л)</t>
  </si>
  <si>
    <t xml:space="preserve">Effect ALFA 106  5л чистящ (c0.76)</t>
  </si>
  <si>
    <t xml:space="preserve">Чистящее средство для сантехники (23.96 л)</t>
  </si>
  <si>
    <t xml:space="preserve">Effect ALFA 106  5л чистящ (c0.71)</t>
  </si>
  <si>
    <t xml:space="preserve">Дезинфицирующее средство для твёрдых п (6.59 л)</t>
  </si>
  <si>
    <t xml:space="preserve">Klinin KLORIITTI FORTE 5 л (c0.73)</t>
  </si>
  <si>
    <t xml:space="preserve">Чистящее средство для интерьера (171.14 л)</t>
  </si>
  <si>
    <t xml:space="preserve">Effect ALFA 106  5л чистящ (c0.74)</t>
  </si>
  <si>
    <t xml:space="preserve">Чистящее средство для оргтехники (0.29 л)</t>
  </si>
  <si>
    <t xml:space="preserve">Средство для мойки стёкол и зеркал (0.21 л)</t>
  </si>
  <si>
    <t xml:space="preserve">AVUAR H-15 5л средство для (c0.82)</t>
  </si>
  <si>
    <t xml:space="preserve">Салфетки универсальные (микрофибра) (91 шт)</t>
  </si>
  <si>
    <t xml:space="preserve">Салфетка микроволоконная ( (c0.87)</t>
  </si>
  <si>
    <t xml:space="preserve">Альмин Провижн Сервис</t>
  </si>
  <si>
    <t xml:space="preserve">Моющее средство для полов — МЕХАНИЗИРО (119.8 л)</t>
  </si>
  <si>
    <t xml:space="preserve">АиС D202 Моющее средство д (c0.74)</t>
  </si>
  <si>
    <t xml:space="preserve">ИТОГО материалы/мес</t>
  </si>
  <si>
    <t xml:space="preserve">Применена коррекция ×1/7 на химию И на мешки для мусора — норма плотности урн (1/25 м²) тоже откалибрована на малый офис, для крупного объекта явно завышена (даже одни мешки превышали весь реальный итог эксперта). Коэффициент из ОДНОЙ сверки, не проверен по категориям отдельно. 'Комплект для уборки' исключён из ежемесячных расходников — это инвентарь (см. раздел 5).</t>
  </si>
  <si>
    <t xml:space="preserve">4. Оборудование — реальная закупка (счёт №2511-452313-86459 от 19.11.2025, ВсеИнструменты.ру)</t>
  </si>
  <si>
    <t xml:space="preserve">Наименование</t>
  </si>
  <si>
    <t xml:space="preserve">Цена, ₽</t>
  </si>
  <si>
    <t xml:space="preserve">Baiyun Пылесос 30л BF575 PS-0116</t>
  </si>
  <si>
    <t xml:space="preserve">INBLOOM PROF+ Коннектор быстросъемный для шланга 3/4</t>
  </si>
  <si>
    <t xml:space="preserve">Huter Снегоуборщик SGC 4800 В 70/7/2</t>
  </si>
  <si>
    <t xml:space="preserve">Kolner KHPW 2150FSP Мойка высокого давления 2150Вт</t>
  </si>
  <si>
    <t xml:space="preserve">KEDI Однодисковая машина РОТОР Taste 43</t>
  </si>
  <si>
    <t xml:space="preserve">TWINC Поломоечная машина C70 с литиевой АКБ 150Ач</t>
  </si>
  <si>
    <t xml:space="preserve">VinnerMyer SC510B L50 Аккумуляторная поломоечная машина</t>
  </si>
  <si>
    <t xml:space="preserve">Zitrek Пылесос промышленный ZKVC1500-15S (9 шт × 4308)</t>
  </si>
  <si>
    <t xml:space="preserve">ИТОГО стоимость оборудования (разовая закупка)</t>
  </si>
  <si>
    <t xml:space="preserve">Разовая капитальная закупка (+ доставка 1 700 ₽ = 829 747 ₽, точное совпадение с ИТОГО К ОПЛАТЕ по счёту, все 8 позиций одним заказом). В ежемесячную себестоимость НЕ включается и не амортизируется — учитывается отдельно от операционных расходов.</t>
  </si>
  <si>
    <t xml:space="preserve">5. Инвентарь и спецодежда (референс)</t>
  </si>
  <si>
    <t xml:space="preserve">По референсным данным (inventory_workwear_rates.json)</t>
  </si>
  <si>
    <t xml:space="preserve">6. ИТОГО СЕБЕСТОИМОСТЬ В МЕСЯЦ (без НДС, без учёта разовой закупки оборудования)</t>
  </si>
  <si>
    <t xml:space="preserve">Справочно (не источник для расчёта — только сверка):</t>
  </si>
  <si>
    <t xml:space="preserve">Реальная цена по договору/мес</t>
  </si>
  <si>
    <t xml:space="preserve">Расчёт эксперта, себестоимость без НДС</t>
  </si>
  <si>
    <t xml:space="preserve">Разница нашей оценки и реальной цены</t>
  </si>
  <si>
    <t xml:space="preserve">Независимая смета — Озерковская наб., 28 стр.3 (Зима)</t>
  </si>
  <si>
    <t xml:space="preserve">2. Численность и ФОТ (зима)</t>
  </si>
  <si>
    <t xml:space="preserve">Салфетки универсальные (микрофибра) (100 шт)</t>
  </si>
</sst>
</file>

<file path=xl/styles.xml><?xml version="1.0" encoding="utf-8"?>
<styleSheet xmlns="http://schemas.openxmlformats.org/spreadsheetml/2006/main">
  <numFmts count="2">
    <numFmt numFmtId="164" formatCode="General"/>
    <numFmt numFmtId="165" formatCode="#,##0.00&quot; ₽&quot;;\(#,##0.00&quot; ₽)&quot;;\-"/>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66666"/>
      <name val="Arial"/>
      <family val="0"/>
      <charset val="1"/>
    </font>
    <font>
      <sz val="9"/>
      <name val="Arial"/>
      <family val="0"/>
      <charset val="1"/>
    </font>
    <font>
      <b val="true"/>
      <sz val="12"/>
      <name val="Arial"/>
      <family val="0"/>
      <charset val="1"/>
    </font>
    <font>
      <b val="true"/>
      <sz val="11"/>
      <color rgb="FFFFFFFF"/>
      <name val="Arial"/>
      <family val="0"/>
      <charset val="1"/>
    </font>
    <font>
      <b val="true"/>
      <sz val="11"/>
      <name val="Arial"/>
      <family val="0"/>
      <charset val="1"/>
    </font>
    <font>
      <b val="true"/>
      <sz val="13"/>
      <color rgb="FFC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305496"/>
        <bgColor rgb="FF0066C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2"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30"/>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7" min="6"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6" customFormat="false" ht="15" hidden="false" customHeight="false" outlineLevel="0" collapsed="false">
      <c r="A6" s="4" t="s">
        <v>3</v>
      </c>
    </row>
    <row r="7" customFormat="false" ht="15" hidden="false" customHeight="false" outlineLevel="0" collapsed="false">
      <c r="A7" s="5" t="s">
        <v>4</v>
      </c>
      <c r="B7" s="5" t="n">
        <v>36</v>
      </c>
    </row>
    <row r="8" customFormat="false" ht="15" hidden="false" customHeight="false" outlineLevel="0" collapsed="false">
      <c r="A8" s="5" t="s">
        <v>5</v>
      </c>
      <c r="B8" s="5" t="n">
        <v>15359.27</v>
      </c>
    </row>
    <row r="10" customFormat="false" ht="15" hidden="false" customHeight="false" outlineLevel="0" collapsed="false">
      <c r="A10" s="4" t="s">
        <v>6</v>
      </c>
    </row>
    <row r="11" customFormat="false" ht="15" hidden="false" customHeight="false" outlineLevel="0" collapsed="false">
      <c r="A11" s="6" t="s">
        <v>7</v>
      </c>
      <c r="B11" s="6" t="s">
        <v>8</v>
      </c>
      <c r="C11" s="6" t="s">
        <v>9</v>
      </c>
      <c r="D11" s="6" t="s">
        <v>10</v>
      </c>
    </row>
    <row r="12" customFormat="false" ht="15" hidden="false" customHeight="false" outlineLevel="0" collapsed="false">
      <c r="A12" s="7" t="s">
        <v>11</v>
      </c>
      <c r="B12" s="7" t="n">
        <v>1</v>
      </c>
      <c r="C12" s="8" t="n">
        <v>130000</v>
      </c>
      <c r="D12" s="9" t="n">
        <f aca="false">B12*C12</f>
        <v>130000</v>
      </c>
    </row>
    <row r="13" customFormat="false" ht="15" hidden="false" customHeight="false" outlineLevel="0" collapsed="false">
      <c r="A13" s="7" t="s">
        <v>12</v>
      </c>
      <c r="B13" s="7" t="n">
        <v>15</v>
      </c>
      <c r="C13" s="8" t="n">
        <v>52500</v>
      </c>
      <c r="D13" s="9" t="n">
        <f aca="false">B13*C13</f>
        <v>787500</v>
      </c>
    </row>
    <row r="14" customFormat="false" ht="15" hidden="false" customHeight="false" outlineLevel="0" collapsed="false">
      <c r="A14" s="7" t="s">
        <v>13</v>
      </c>
      <c r="B14" s="7" t="n">
        <v>1</v>
      </c>
      <c r="C14" s="8" t="n">
        <v>100000</v>
      </c>
      <c r="D14" s="9" t="n">
        <f aca="false">B14*C14</f>
        <v>100000</v>
      </c>
    </row>
    <row r="15" customFormat="false" ht="15" hidden="false" customHeight="false" outlineLevel="0" collapsed="false">
      <c r="A15" s="7" t="s">
        <v>14</v>
      </c>
      <c r="B15" s="7" t="n">
        <v>1</v>
      </c>
      <c r="C15" s="8" t="n">
        <v>82500</v>
      </c>
      <c r="D15" s="9" t="n">
        <f aca="false">B15*C15</f>
        <v>82500</v>
      </c>
    </row>
    <row r="16" customFormat="false" ht="15" hidden="false" customHeight="false" outlineLevel="0" collapsed="false">
      <c r="A16" s="7" t="s">
        <v>15</v>
      </c>
      <c r="B16" s="7" t="n">
        <v>1</v>
      </c>
      <c r="C16" s="8" t="n">
        <v>87500</v>
      </c>
      <c r="D16" s="9" t="n">
        <f aca="false">B16*C16</f>
        <v>87500</v>
      </c>
    </row>
    <row r="17" customFormat="false" ht="15" hidden="false" customHeight="false" outlineLevel="0" collapsed="false">
      <c r="A17" s="7" t="s">
        <v>16</v>
      </c>
      <c r="B17" s="7" t="n">
        <v>1</v>
      </c>
      <c r="C17" s="8" t="n">
        <v>87500</v>
      </c>
      <c r="D17" s="9" t="n">
        <f aca="false">B17*C17</f>
        <v>87500</v>
      </c>
    </row>
    <row r="18" customFormat="false" ht="15" hidden="false" customHeight="false" outlineLevel="0" collapsed="false">
      <c r="A18" s="7" t="s">
        <v>17</v>
      </c>
      <c r="B18" s="7" t="n">
        <v>1</v>
      </c>
      <c r="C18" s="8" t="n">
        <v>35000</v>
      </c>
      <c r="D18" s="9" t="n">
        <f aca="false">B18*C18</f>
        <v>35000</v>
      </c>
    </row>
    <row r="19" customFormat="false" ht="15" hidden="false" customHeight="false" outlineLevel="0" collapsed="false">
      <c r="A19" s="10" t="s">
        <v>18</v>
      </c>
      <c r="B19" s="10" t="n">
        <f aca="false">SUM(B12:B18)</f>
        <v>21</v>
      </c>
      <c r="C19" s="5"/>
      <c r="D19" s="5"/>
    </row>
    <row r="20" customFormat="false" ht="15" hidden="false" customHeight="false" outlineLevel="0" collapsed="false">
      <c r="A20" s="10" t="s">
        <v>19</v>
      </c>
      <c r="B20" s="5"/>
      <c r="C20" s="5"/>
      <c r="D20" s="11" t="n">
        <f aca="false">SUM(D12:D18)</f>
        <v>1310000</v>
      </c>
    </row>
    <row r="21" customFormat="false" ht="15" hidden="false" customHeight="false" outlineLevel="0" collapsed="false">
      <c r="A21" s="5" t="s">
        <v>20</v>
      </c>
      <c r="B21" s="5"/>
      <c r="C21" s="5"/>
      <c r="D21" s="12" t="n">
        <f aca="false">D20*0.302</f>
        <v>395620</v>
      </c>
    </row>
    <row r="23" customFormat="false" ht="15" hidden="false" customHeight="false" outlineLevel="0" collapsed="false">
      <c r="A23" s="4" t="s">
        <v>21</v>
      </c>
    </row>
    <row r="24" customFormat="false" ht="15" hidden="false" customHeight="false" outlineLevel="0" collapsed="false">
      <c r="A24" s="6" t="s">
        <v>22</v>
      </c>
      <c r="B24" s="6" t="s">
        <v>23</v>
      </c>
      <c r="C24" s="6" t="s">
        <v>24</v>
      </c>
      <c r="D24" s="6" t="s">
        <v>25</v>
      </c>
      <c r="E24" s="6" t="s">
        <v>26</v>
      </c>
      <c r="F24" s="6" t="s">
        <v>27</v>
      </c>
    </row>
    <row r="25" customFormat="false" ht="15" hidden="false" customHeight="false" outlineLevel="0" collapsed="false">
      <c r="A25" s="5" t="s">
        <v>28</v>
      </c>
      <c r="B25" s="7" t="s">
        <v>29</v>
      </c>
      <c r="C25" s="7" t="s">
        <v>30</v>
      </c>
      <c r="D25" s="7" t="n">
        <v>2</v>
      </c>
      <c r="E25" s="9" t="n">
        <v>67.68</v>
      </c>
      <c r="F25" s="9" t="n">
        <f aca="false">D25*E25</f>
        <v>135.36</v>
      </c>
    </row>
    <row r="26" customFormat="false" ht="15" hidden="false" customHeight="false" outlineLevel="0" collapsed="false">
      <c r="A26" s="5" t="s">
        <v>31</v>
      </c>
      <c r="B26" s="7" t="s">
        <v>32</v>
      </c>
      <c r="C26" s="7" t="s">
        <v>30</v>
      </c>
      <c r="D26" s="7" t="n">
        <v>115</v>
      </c>
      <c r="E26" s="9" t="n">
        <v>104.88</v>
      </c>
      <c r="F26" s="9" t="n">
        <f aca="false">D26*E26</f>
        <v>12061.2</v>
      </c>
    </row>
    <row r="27" customFormat="false" ht="15" hidden="false" customHeight="false" outlineLevel="0" collapsed="false">
      <c r="A27" s="5" t="s">
        <v>33</v>
      </c>
      <c r="B27" s="7" t="s">
        <v>34</v>
      </c>
      <c r="C27" s="7" t="s">
        <v>30</v>
      </c>
      <c r="D27" s="7" t="n">
        <v>7</v>
      </c>
      <c r="E27" s="9" t="n">
        <v>475.41</v>
      </c>
      <c r="F27" s="9" t="n">
        <f aca="false">D27*E27</f>
        <v>3327.87</v>
      </c>
    </row>
    <row r="28" customFormat="false" ht="15" hidden="false" customHeight="false" outlineLevel="0" collapsed="false">
      <c r="A28" s="5" t="s">
        <v>35</v>
      </c>
      <c r="B28" s="7" t="s">
        <v>36</v>
      </c>
      <c r="C28" s="7" t="s">
        <v>30</v>
      </c>
      <c r="D28" s="7" t="n">
        <v>5</v>
      </c>
      <c r="E28" s="9" t="n">
        <v>475.41</v>
      </c>
      <c r="F28" s="9" t="n">
        <f aca="false">D28*E28</f>
        <v>2377.05</v>
      </c>
    </row>
    <row r="29" customFormat="false" ht="15" hidden="false" customHeight="false" outlineLevel="0" collapsed="false">
      <c r="A29" s="5" t="s">
        <v>37</v>
      </c>
      <c r="B29" s="7" t="s">
        <v>38</v>
      </c>
      <c r="C29" s="7" t="s">
        <v>30</v>
      </c>
      <c r="D29" s="7" t="n">
        <v>2</v>
      </c>
      <c r="E29" s="9" t="n">
        <v>1423.38</v>
      </c>
      <c r="F29" s="9" t="n">
        <f aca="false">D29*E29</f>
        <v>2846.76</v>
      </c>
    </row>
    <row r="30" customFormat="false" ht="15" hidden="false" customHeight="false" outlineLevel="0" collapsed="false">
      <c r="A30" s="5" t="s">
        <v>39</v>
      </c>
      <c r="B30" s="7" t="s">
        <v>40</v>
      </c>
      <c r="C30" s="7" t="s">
        <v>30</v>
      </c>
      <c r="D30" s="7" t="n">
        <v>35</v>
      </c>
      <c r="E30" s="9" t="n">
        <v>475.41</v>
      </c>
      <c r="F30" s="9" t="n">
        <f aca="false">D30*E30</f>
        <v>16639.35</v>
      </c>
    </row>
    <row r="31" customFormat="false" ht="15" hidden="false" customHeight="false" outlineLevel="0" collapsed="false">
      <c r="A31" s="5" t="s">
        <v>41</v>
      </c>
      <c r="B31" s="7" t="s">
        <v>36</v>
      </c>
      <c r="C31" s="7" t="s">
        <v>30</v>
      </c>
      <c r="D31" s="7" t="n">
        <v>1</v>
      </c>
      <c r="E31" s="9" t="n">
        <v>475.41</v>
      </c>
      <c r="F31" s="9" t="n">
        <f aca="false">D31*E31</f>
        <v>475.41</v>
      </c>
    </row>
    <row r="32" customFormat="false" ht="15" hidden="false" customHeight="false" outlineLevel="0" collapsed="false">
      <c r="A32" s="5" t="s">
        <v>42</v>
      </c>
      <c r="B32" s="7" t="s">
        <v>43</v>
      </c>
      <c r="C32" s="7" t="s">
        <v>30</v>
      </c>
      <c r="D32" s="7" t="n">
        <v>1</v>
      </c>
      <c r="E32" s="9" t="n">
        <v>361.89</v>
      </c>
      <c r="F32" s="9" t="n">
        <f aca="false">D32*E32</f>
        <v>361.89</v>
      </c>
    </row>
    <row r="33" customFormat="false" ht="15" hidden="false" customHeight="false" outlineLevel="0" collapsed="false">
      <c r="A33" s="5" t="s">
        <v>44</v>
      </c>
      <c r="B33" s="7" t="s">
        <v>45</v>
      </c>
      <c r="C33" s="7" t="s">
        <v>46</v>
      </c>
      <c r="D33" s="7" t="n">
        <v>91</v>
      </c>
      <c r="E33" s="9" t="n">
        <v>18.94</v>
      </c>
      <c r="F33" s="9" t="n">
        <f aca="false">D33*E33</f>
        <v>1723.54</v>
      </c>
    </row>
    <row r="34" customFormat="false" ht="15" hidden="false" customHeight="false" outlineLevel="0" collapsed="false">
      <c r="A34" s="5" t="s">
        <v>47</v>
      </c>
      <c r="B34" s="7" t="s">
        <v>48</v>
      </c>
      <c r="C34" s="7" t="s">
        <v>30</v>
      </c>
      <c r="D34" s="7" t="n">
        <v>24</v>
      </c>
      <c r="E34" s="9" t="n">
        <v>614</v>
      </c>
      <c r="F34" s="9" t="n">
        <f aca="false">D34*E34</f>
        <v>14736</v>
      </c>
    </row>
    <row r="35" customFormat="false" ht="15" hidden="false" customHeight="false" outlineLevel="0" collapsed="false">
      <c r="A35" s="13" t="s">
        <v>49</v>
      </c>
      <c r="F35" s="14" t="n">
        <f aca="false">SUM(F25:F34)</f>
        <v>54684.43</v>
      </c>
    </row>
    <row r="36" customFormat="false" ht="15" hidden="false" customHeight="false" outlineLevel="0" collapsed="false">
      <c r="A36" s="15" t="s">
        <v>50</v>
      </c>
      <c r="B36" s="15"/>
      <c r="C36" s="15"/>
      <c r="D36" s="15"/>
      <c r="E36" s="15"/>
      <c r="F36" s="15"/>
    </row>
    <row r="38" customFormat="false" ht="15" hidden="false" customHeight="false" outlineLevel="0" collapsed="false">
      <c r="A38" s="4" t="s">
        <v>51</v>
      </c>
    </row>
    <row r="39" customFormat="false" ht="15" hidden="false" customHeight="false" outlineLevel="0" collapsed="false">
      <c r="A39" s="6" t="s">
        <v>52</v>
      </c>
      <c r="B39" s="6" t="s">
        <v>53</v>
      </c>
    </row>
    <row r="40" customFormat="false" ht="15" hidden="false" customHeight="false" outlineLevel="0" collapsed="false">
      <c r="A40" s="7" t="s">
        <v>54</v>
      </c>
      <c r="B40" s="9" t="n">
        <v>12322</v>
      </c>
    </row>
    <row r="41" customFormat="false" ht="15" hidden="false" customHeight="false" outlineLevel="0" collapsed="false">
      <c r="A41" s="7" t="s">
        <v>55</v>
      </c>
      <c r="B41" s="9" t="n">
        <v>130</v>
      </c>
    </row>
    <row r="42" customFormat="false" ht="15" hidden="false" customHeight="false" outlineLevel="0" collapsed="false">
      <c r="A42" s="7" t="s">
        <v>56</v>
      </c>
      <c r="B42" s="9" t="n">
        <v>45299</v>
      </c>
    </row>
    <row r="43" customFormat="false" ht="15" hidden="false" customHeight="false" outlineLevel="0" collapsed="false">
      <c r="A43" s="7" t="s">
        <v>57</v>
      </c>
      <c r="B43" s="9" t="n">
        <v>10961</v>
      </c>
    </row>
    <row r="44" customFormat="false" ht="15" hidden="false" customHeight="false" outlineLevel="0" collapsed="false">
      <c r="A44" s="7" t="s">
        <v>58</v>
      </c>
      <c r="B44" s="9" t="n">
        <v>63037</v>
      </c>
    </row>
    <row r="45" customFormat="false" ht="15" hidden="false" customHeight="false" outlineLevel="0" collapsed="false">
      <c r="A45" s="7" t="s">
        <v>59</v>
      </c>
      <c r="B45" s="9" t="n">
        <v>399148</v>
      </c>
    </row>
    <row r="46" customFormat="false" ht="15" hidden="false" customHeight="false" outlineLevel="0" collapsed="false">
      <c r="A46" s="7" t="s">
        <v>60</v>
      </c>
      <c r="B46" s="9" t="n">
        <v>258378</v>
      </c>
    </row>
    <row r="47" customFormat="false" ht="15" hidden="false" customHeight="false" outlineLevel="0" collapsed="false">
      <c r="A47" s="7" t="s">
        <v>61</v>
      </c>
      <c r="B47" s="9" t="n">
        <v>38772</v>
      </c>
    </row>
    <row r="48" customFormat="false" ht="15" hidden="false" customHeight="false" outlineLevel="0" collapsed="false">
      <c r="A48" s="10" t="s">
        <v>62</v>
      </c>
      <c r="B48" s="11" t="n">
        <f aca="false">SUM(B40:B47)</f>
        <v>828047</v>
      </c>
    </row>
    <row r="49" customFormat="false" ht="15" hidden="false" customHeight="false" outlineLevel="0" collapsed="false">
      <c r="A49" s="2" t="s">
        <v>63</v>
      </c>
    </row>
    <row r="51" customFormat="false" ht="15" hidden="false" customHeight="false" outlineLevel="0" collapsed="false">
      <c r="A51" s="16" t="s">
        <v>64</v>
      </c>
      <c r="B51" s="5"/>
    </row>
    <row r="52" customFormat="false" ht="15" hidden="false" customHeight="false" outlineLevel="0" collapsed="false">
      <c r="A52" s="5" t="s">
        <v>65</v>
      </c>
      <c r="B52" s="17" t="n">
        <v>41310</v>
      </c>
    </row>
    <row r="54" customFormat="false" ht="16.15" hidden="false" customHeight="false" outlineLevel="0" collapsed="false">
      <c r="A54" s="18" t="s">
        <v>66</v>
      </c>
      <c r="B54" s="19" t="n">
        <f aca="false">D20+D21+F35+B52</f>
        <v>1801614.43</v>
      </c>
    </row>
    <row r="56" customFormat="false" ht="15" hidden="false" customHeight="false" outlineLevel="0" collapsed="false">
      <c r="A56" s="2" t="s">
        <v>67</v>
      </c>
    </row>
    <row r="57" customFormat="false" ht="15" hidden="false" customHeight="false" outlineLevel="0" collapsed="false">
      <c r="A57" s="0" t="s">
        <v>68</v>
      </c>
      <c r="B57" s="20" t="n">
        <v>2004000</v>
      </c>
    </row>
    <row r="58" customFormat="false" ht="15" hidden="false" customHeight="false" outlineLevel="0" collapsed="false">
      <c r="A58" s="0" t="s">
        <v>69</v>
      </c>
      <c r="B58" s="20" t="n">
        <v>2014689.71</v>
      </c>
    </row>
    <row r="59" customFormat="false" ht="15" hidden="false" customHeight="false" outlineLevel="0" collapsed="false">
      <c r="A59" s="0" t="s">
        <v>70</v>
      </c>
      <c r="B59" s="20" t="n">
        <f aca="false">B54-2004000</f>
        <v>-202385.57</v>
      </c>
    </row>
  </sheetData>
  <mergeCells count="1">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30"/>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7" min="6" style="0" width="14"/>
  </cols>
  <sheetData>
    <row r="1" customFormat="false" ht="17.35" hidden="false" customHeight="false" outlineLevel="0" collapsed="false">
      <c r="A1" s="1" t="s">
        <v>71</v>
      </c>
    </row>
    <row r="2" customFormat="false" ht="15" hidden="false" customHeight="false" outlineLevel="0" collapsed="false">
      <c r="A2" s="2" t="s">
        <v>1</v>
      </c>
    </row>
    <row r="4" customFormat="false" ht="15" hidden="false" customHeight="false" outlineLevel="0" collapsed="false">
      <c r="A4" s="3" t="s">
        <v>2</v>
      </c>
    </row>
    <row r="6" customFormat="false" ht="15" hidden="false" customHeight="false" outlineLevel="0" collapsed="false">
      <c r="A6" s="4" t="s">
        <v>3</v>
      </c>
    </row>
    <row r="7" customFormat="false" ht="15" hidden="false" customHeight="false" outlineLevel="0" collapsed="false">
      <c r="A7" s="5" t="s">
        <v>4</v>
      </c>
      <c r="B7" s="5" t="n">
        <v>36</v>
      </c>
    </row>
    <row r="8" customFormat="false" ht="15" hidden="false" customHeight="false" outlineLevel="0" collapsed="false">
      <c r="A8" s="5" t="s">
        <v>5</v>
      </c>
      <c r="B8" s="5" t="n">
        <v>15359.27</v>
      </c>
    </row>
    <row r="10" customFormat="false" ht="15" hidden="false" customHeight="false" outlineLevel="0" collapsed="false">
      <c r="A10" s="4" t="s">
        <v>72</v>
      </c>
    </row>
    <row r="11" customFormat="false" ht="15" hidden="false" customHeight="false" outlineLevel="0" collapsed="false">
      <c r="A11" s="6" t="s">
        <v>7</v>
      </c>
      <c r="B11" s="6" t="s">
        <v>8</v>
      </c>
      <c r="C11" s="6" t="s">
        <v>9</v>
      </c>
      <c r="D11" s="6" t="s">
        <v>10</v>
      </c>
    </row>
    <row r="12" customFormat="false" ht="15" hidden="false" customHeight="false" outlineLevel="0" collapsed="false">
      <c r="A12" s="7" t="s">
        <v>11</v>
      </c>
      <c r="B12" s="7" t="n">
        <v>1</v>
      </c>
      <c r="C12" s="8" t="n">
        <v>130000</v>
      </c>
      <c r="D12" s="9" t="n">
        <f aca="false">B12*C12</f>
        <v>130000</v>
      </c>
    </row>
    <row r="13" customFormat="false" ht="15" hidden="false" customHeight="false" outlineLevel="0" collapsed="false">
      <c r="A13" s="7" t="s">
        <v>12</v>
      </c>
      <c r="B13" s="7" t="n">
        <v>15</v>
      </c>
      <c r="C13" s="8" t="n">
        <v>52500</v>
      </c>
      <c r="D13" s="9" t="n">
        <f aca="false">B13*C13</f>
        <v>787500</v>
      </c>
    </row>
    <row r="14" customFormat="false" ht="15" hidden="false" customHeight="false" outlineLevel="0" collapsed="false">
      <c r="A14" s="7" t="s">
        <v>13</v>
      </c>
      <c r="B14" s="7" t="n">
        <v>1</v>
      </c>
      <c r="C14" s="8" t="n">
        <v>100000</v>
      </c>
      <c r="D14" s="9" t="n">
        <f aca="false">B14*C14</f>
        <v>100000</v>
      </c>
    </row>
    <row r="15" customFormat="false" ht="15" hidden="false" customHeight="false" outlineLevel="0" collapsed="false">
      <c r="A15" s="7" t="s">
        <v>14</v>
      </c>
      <c r="B15" s="7" t="n">
        <v>2</v>
      </c>
      <c r="C15" s="8" t="n">
        <v>82500</v>
      </c>
      <c r="D15" s="9" t="n">
        <f aca="false">B15*C15</f>
        <v>165000</v>
      </c>
    </row>
    <row r="16" customFormat="false" ht="15" hidden="false" customHeight="false" outlineLevel="0" collapsed="false">
      <c r="A16" s="7" t="s">
        <v>15</v>
      </c>
      <c r="B16" s="7" t="n">
        <v>2</v>
      </c>
      <c r="C16" s="8" t="n">
        <v>87500</v>
      </c>
      <c r="D16" s="9" t="n">
        <f aca="false">B16*C16</f>
        <v>175000</v>
      </c>
    </row>
    <row r="17" customFormat="false" ht="15" hidden="false" customHeight="false" outlineLevel="0" collapsed="false">
      <c r="A17" s="7" t="s">
        <v>16</v>
      </c>
      <c r="B17" s="7" t="n">
        <v>1</v>
      </c>
      <c r="C17" s="8" t="n">
        <v>87500</v>
      </c>
      <c r="D17" s="9" t="n">
        <f aca="false">B17*C17</f>
        <v>87500</v>
      </c>
    </row>
    <row r="18" customFormat="false" ht="15" hidden="false" customHeight="false" outlineLevel="0" collapsed="false">
      <c r="A18" s="7" t="s">
        <v>17</v>
      </c>
      <c r="B18" s="7" t="n">
        <v>1</v>
      </c>
      <c r="C18" s="8" t="n">
        <v>35000</v>
      </c>
      <c r="D18" s="9" t="n">
        <f aca="false">B18*C18</f>
        <v>35000</v>
      </c>
    </row>
    <row r="19" customFormat="false" ht="15" hidden="false" customHeight="false" outlineLevel="0" collapsed="false">
      <c r="A19" s="10" t="s">
        <v>18</v>
      </c>
      <c r="B19" s="10" t="n">
        <f aca="false">SUM(B12:B18)</f>
        <v>23</v>
      </c>
      <c r="C19" s="5"/>
      <c r="D19" s="5"/>
    </row>
    <row r="20" customFormat="false" ht="15" hidden="false" customHeight="false" outlineLevel="0" collapsed="false">
      <c r="A20" s="10" t="s">
        <v>19</v>
      </c>
      <c r="B20" s="5"/>
      <c r="C20" s="5"/>
      <c r="D20" s="11" t="n">
        <f aca="false">SUM(D12:D18)</f>
        <v>1480000</v>
      </c>
    </row>
    <row r="21" customFormat="false" ht="15" hidden="false" customHeight="false" outlineLevel="0" collapsed="false">
      <c r="A21" s="5" t="s">
        <v>20</v>
      </c>
      <c r="B21" s="5"/>
      <c r="C21" s="5"/>
      <c r="D21" s="12" t="n">
        <f aca="false">D20*0.302</f>
        <v>446960</v>
      </c>
    </row>
    <row r="23" customFormat="false" ht="15" hidden="false" customHeight="false" outlineLevel="0" collapsed="false">
      <c r="A23" s="4" t="s">
        <v>21</v>
      </c>
    </row>
    <row r="24" customFormat="false" ht="15" hidden="false" customHeight="false" outlineLevel="0" collapsed="false">
      <c r="A24" s="6" t="s">
        <v>22</v>
      </c>
      <c r="B24" s="6" t="s">
        <v>23</v>
      </c>
      <c r="C24" s="6" t="s">
        <v>24</v>
      </c>
      <c r="D24" s="6" t="s">
        <v>25</v>
      </c>
      <c r="E24" s="6" t="s">
        <v>26</v>
      </c>
      <c r="F24" s="6" t="s">
        <v>27</v>
      </c>
    </row>
    <row r="25" customFormat="false" ht="15" hidden="false" customHeight="false" outlineLevel="0" collapsed="false">
      <c r="A25" s="5" t="s">
        <v>28</v>
      </c>
      <c r="B25" s="7" t="s">
        <v>29</v>
      </c>
      <c r="C25" s="7" t="s">
        <v>30</v>
      </c>
      <c r="D25" s="7" t="n">
        <v>2</v>
      </c>
      <c r="E25" s="9" t="n">
        <v>67.68</v>
      </c>
      <c r="F25" s="9" t="n">
        <f aca="false">D25*E25</f>
        <v>135.36</v>
      </c>
    </row>
    <row r="26" customFormat="false" ht="15" hidden="false" customHeight="false" outlineLevel="0" collapsed="false">
      <c r="A26" s="5" t="s">
        <v>31</v>
      </c>
      <c r="B26" s="7" t="s">
        <v>32</v>
      </c>
      <c r="C26" s="7" t="s">
        <v>30</v>
      </c>
      <c r="D26" s="7" t="n">
        <v>115</v>
      </c>
      <c r="E26" s="9" t="n">
        <v>104.88</v>
      </c>
      <c r="F26" s="9" t="n">
        <f aca="false">D26*E26</f>
        <v>12061.2</v>
      </c>
    </row>
    <row r="27" customFormat="false" ht="15" hidden="false" customHeight="false" outlineLevel="0" collapsed="false">
      <c r="A27" s="5" t="s">
        <v>33</v>
      </c>
      <c r="B27" s="7" t="s">
        <v>34</v>
      </c>
      <c r="C27" s="7" t="s">
        <v>30</v>
      </c>
      <c r="D27" s="7" t="n">
        <v>7</v>
      </c>
      <c r="E27" s="9" t="n">
        <v>475.41</v>
      </c>
      <c r="F27" s="9" t="n">
        <f aca="false">D27*E27</f>
        <v>3327.87</v>
      </c>
    </row>
    <row r="28" customFormat="false" ht="15" hidden="false" customHeight="false" outlineLevel="0" collapsed="false">
      <c r="A28" s="5" t="s">
        <v>35</v>
      </c>
      <c r="B28" s="7" t="s">
        <v>36</v>
      </c>
      <c r="C28" s="7" t="s">
        <v>30</v>
      </c>
      <c r="D28" s="7" t="n">
        <v>5</v>
      </c>
      <c r="E28" s="9" t="n">
        <v>475.41</v>
      </c>
      <c r="F28" s="9" t="n">
        <f aca="false">D28*E28</f>
        <v>2377.05</v>
      </c>
    </row>
    <row r="29" customFormat="false" ht="15" hidden="false" customHeight="false" outlineLevel="0" collapsed="false">
      <c r="A29" s="5" t="s">
        <v>37</v>
      </c>
      <c r="B29" s="7" t="s">
        <v>38</v>
      </c>
      <c r="C29" s="7" t="s">
        <v>30</v>
      </c>
      <c r="D29" s="7" t="n">
        <v>2</v>
      </c>
      <c r="E29" s="9" t="n">
        <v>1423.38</v>
      </c>
      <c r="F29" s="9" t="n">
        <f aca="false">D29*E29</f>
        <v>2846.76</v>
      </c>
    </row>
    <row r="30" customFormat="false" ht="15" hidden="false" customHeight="false" outlineLevel="0" collapsed="false">
      <c r="A30" s="5" t="s">
        <v>39</v>
      </c>
      <c r="B30" s="7" t="s">
        <v>40</v>
      </c>
      <c r="C30" s="7" t="s">
        <v>30</v>
      </c>
      <c r="D30" s="7" t="n">
        <v>35</v>
      </c>
      <c r="E30" s="9" t="n">
        <v>475.41</v>
      </c>
      <c r="F30" s="9" t="n">
        <f aca="false">D30*E30</f>
        <v>16639.35</v>
      </c>
    </row>
    <row r="31" customFormat="false" ht="15" hidden="false" customHeight="false" outlineLevel="0" collapsed="false">
      <c r="A31" s="5" t="s">
        <v>41</v>
      </c>
      <c r="B31" s="7" t="s">
        <v>36</v>
      </c>
      <c r="C31" s="7" t="s">
        <v>30</v>
      </c>
      <c r="D31" s="7" t="n">
        <v>1</v>
      </c>
      <c r="E31" s="9" t="n">
        <v>475.41</v>
      </c>
      <c r="F31" s="9" t="n">
        <f aca="false">D31*E31</f>
        <v>475.41</v>
      </c>
    </row>
    <row r="32" customFormat="false" ht="15" hidden="false" customHeight="false" outlineLevel="0" collapsed="false">
      <c r="A32" s="5" t="s">
        <v>42</v>
      </c>
      <c r="B32" s="7" t="s">
        <v>43</v>
      </c>
      <c r="C32" s="7" t="s">
        <v>30</v>
      </c>
      <c r="D32" s="7" t="n">
        <v>1</v>
      </c>
      <c r="E32" s="9" t="n">
        <v>361.89</v>
      </c>
      <c r="F32" s="9" t="n">
        <f aca="false">D32*E32</f>
        <v>361.89</v>
      </c>
    </row>
    <row r="33" customFormat="false" ht="15" hidden="false" customHeight="false" outlineLevel="0" collapsed="false">
      <c r="A33" s="5" t="s">
        <v>73</v>
      </c>
      <c r="B33" s="7" t="s">
        <v>45</v>
      </c>
      <c r="C33" s="7" t="s">
        <v>46</v>
      </c>
      <c r="D33" s="7" t="n">
        <v>100</v>
      </c>
      <c r="E33" s="9" t="n">
        <v>18.94</v>
      </c>
      <c r="F33" s="9" t="n">
        <f aca="false">D33*E33</f>
        <v>1894</v>
      </c>
    </row>
    <row r="34" customFormat="false" ht="15" hidden="false" customHeight="false" outlineLevel="0" collapsed="false">
      <c r="A34" s="5" t="s">
        <v>47</v>
      </c>
      <c r="B34" s="7" t="s">
        <v>48</v>
      </c>
      <c r="C34" s="7" t="s">
        <v>30</v>
      </c>
      <c r="D34" s="7" t="n">
        <v>24</v>
      </c>
      <c r="E34" s="9" t="n">
        <v>614</v>
      </c>
      <c r="F34" s="9" t="n">
        <f aca="false">D34*E34</f>
        <v>14736</v>
      </c>
    </row>
    <row r="35" customFormat="false" ht="15" hidden="false" customHeight="false" outlineLevel="0" collapsed="false">
      <c r="A35" s="13" t="s">
        <v>49</v>
      </c>
      <c r="F35" s="14" t="n">
        <f aca="false">SUM(F25:F34)</f>
        <v>54854.89</v>
      </c>
    </row>
    <row r="36" customFormat="false" ht="15" hidden="false" customHeight="false" outlineLevel="0" collapsed="false">
      <c r="A36" s="15" t="s">
        <v>50</v>
      </c>
      <c r="B36" s="15"/>
      <c r="C36" s="15"/>
      <c r="D36" s="15"/>
      <c r="E36" s="15"/>
      <c r="F36" s="15"/>
    </row>
    <row r="38" customFormat="false" ht="15" hidden="false" customHeight="false" outlineLevel="0" collapsed="false">
      <c r="A38" s="4" t="s">
        <v>51</v>
      </c>
    </row>
    <row r="39" customFormat="false" ht="15" hidden="false" customHeight="false" outlineLevel="0" collapsed="false">
      <c r="A39" s="6" t="s">
        <v>52</v>
      </c>
      <c r="B39" s="6" t="s">
        <v>53</v>
      </c>
    </row>
    <row r="40" customFormat="false" ht="15" hidden="false" customHeight="false" outlineLevel="0" collapsed="false">
      <c r="A40" s="7" t="s">
        <v>54</v>
      </c>
      <c r="B40" s="9" t="n">
        <v>12322</v>
      </c>
    </row>
    <row r="41" customFormat="false" ht="15" hidden="false" customHeight="false" outlineLevel="0" collapsed="false">
      <c r="A41" s="7" t="s">
        <v>55</v>
      </c>
      <c r="B41" s="9" t="n">
        <v>130</v>
      </c>
    </row>
    <row r="42" customFormat="false" ht="15" hidden="false" customHeight="false" outlineLevel="0" collapsed="false">
      <c r="A42" s="7" t="s">
        <v>56</v>
      </c>
      <c r="B42" s="9" t="n">
        <v>45299</v>
      </c>
    </row>
    <row r="43" customFormat="false" ht="15" hidden="false" customHeight="false" outlineLevel="0" collapsed="false">
      <c r="A43" s="7" t="s">
        <v>57</v>
      </c>
      <c r="B43" s="9" t="n">
        <v>10961</v>
      </c>
    </row>
    <row r="44" customFormat="false" ht="15" hidden="false" customHeight="false" outlineLevel="0" collapsed="false">
      <c r="A44" s="7" t="s">
        <v>58</v>
      </c>
      <c r="B44" s="9" t="n">
        <v>63037</v>
      </c>
    </row>
    <row r="45" customFormat="false" ht="15" hidden="false" customHeight="false" outlineLevel="0" collapsed="false">
      <c r="A45" s="7" t="s">
        <v>59</v>
      </c>
      <c r="B45" s="9" t="n">
        <v>399148</v>
      </c>
    </row>
    <row r="46" customFormat="false" ht="15" hidden="false" customHeight="false" outlineLevel="0" collapsed="false">
      <c r="A46" s="7" t="s">
        <v>60</v>
      </c>
      <c r="B46" s="9" t="n">
        <v>258378</v>
      </c>
    </row>
    <row r="47" customFormat="false" ht="15" hidden="false" customHeight="false" outlineLevel="0" collapsed="false">
      <c r="A47" s="7" t="s">
        <v>61</v>
      </c>
      <c r="B47" s="9" t="n">
        <v>38772</v>
      </c>
    </row>
    <row r="48" customFormat="false" ht="15" hidden="false" customHeight="false" outlineLevel="0" collapsed="false">
      <c r="A48" s="10" t="s">
        <v>62</v>
      </c>
      <c r="B48" s="11" t="n">
        <f aca="false">SUM(B40:B47)</f>
        <v>828047</v>
      </c>
    </row>
    <row r="49" customFormat="false" ht="15" hidden="false" customHeight="false" outlineLevel="0" collapsed="false">
      <c r="A49" s="2" t="s">
        <v>63</v>
      </c>
    </row>
    <row r="51" customFormat="false" ht="15" hidden="false" customHeight="false" outlineLevel="0" collapsed="false">
      <c r="A51" s="16" t="s">
        <v>64</v>
      </c>
      <c r="B51" s="5"/>
    </row>
    <row r="52" customFormat="false" ht="15" hidden="false" customHeight="false" outlineLevel="0" collapsed="false">
      <c r="A52" s="5" t="s">
        <v>65</v>
      </c>
      <c r="B52" s="17" t="n">
        <v>43158</v>
      </c>
    </row>
    <row r="54" customFormat="false" ht="16.15" hidden="false" customHeight="false" outlineLevel="0" collapsed="false">
      <c r="A54" s="18" t="s">
        <v>66</v>
      </c>
      <c r="B54" s="19" t="n">
        <f aca="false">D20+D21+F35+B52</f>
        <v>2024972.89</v>
      </c>
    </row>
    <row r="56" customFormat="false" ht="15" hidden="false" customHeight="false" outlineLevel="0" collapsed="false">
      <c r="A56" s="2" t="s">
        <v>67</v>
      </c>
    </row>
    <row r="57" customFormat="false" ht="15" hidden="false" customHeight="false" outlineLevel="0" collapsed="false">
      <c r="A57" s="0" t="s">
        <v>68</v>
      </c>
      <c r="B57" s="20" t="n">
        <v>2334071.96</v>
      </c>
    </row>
    <row r="58" customFormat="false" ht="15" hidden="false" customHeight="false" outlineLevel="0" collapsed="false">
      <c r="A58" s="0" t="s">
        <v>69</v>
      </c>
      <c r="B58" s="20" t="n">
        <v>2325421.15</v>
      </c>
    </row>
    <row r="59" customFormat="false" ht="15" hidden="false" customHeight="false" outlineLevel="0" collapsed="false">
      <c r="A59" s="0" t="s">
        <v>70</v>
      </c>
      <c r="B59" s="20" t="n">
        <f aca="false">B54-2334071.96</f>
        <v>-309099.07</v>
      </c>
    </row>
  </sheetData>
  <mergeCells count="1">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2026-09-22T12:32:04Z</dcterms:created>
  <dc:creator>openpyxl</dc:creator>
  <dc:description/>
  <dc:language>en-US</dc:language>
  <cp:lastModifiedBy/>
  <dcterms:modified xsi:type="dcterms:W3CDTF">2026-09-22T12:32:05Z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