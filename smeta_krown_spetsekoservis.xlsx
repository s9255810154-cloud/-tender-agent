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мет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<sst xmlns="http://schemas.openxmlformats.org/spreadsheetml/2006/main" count="95" uniqueCount="83">
  <si>
    <t xml:space="preserve">Смета — Озерковская наб., 28 стр.3 (Краун / СпецЭкоСервис)</t>
  </si>
  <si>
    <t xml:space="preserve">Дата: 2026-09-22 | Реальный подписанный договор — сверка модели, не предложение цены</t>
  </si>
  <si>
    <t xml:space="preserve">Жёлтые ячейки — допущения/оценки</t>
  </si>
  <si>
    <t xml:space="preserve">1. Срок контракта</t>
  </si>
  <si>
    <t xml:space="preserve">Срок оказания услуг, мес (01.12.2025 - 30.11.2028)</t>
  </si>
  <si>
    <t xml:space="preserve">Площадь помещений, м² (9-этажный офисный комплекс)</t>
  </si>
  <si>
    <t xml:space="preserve">2. Цена по договору (реальная, согласованная)</t>
  </si>
  <si>
    <t xml:space="preserve">ЦЕНА В МЕСЯЦ — зимний период (5 мес)</t>
  </si>
  <si>
    <t xml:space="preserve">ЦЕНА В МЕСЯЦ — летний период (7 мес)</t>
  </si>
  <si>
    <t xml:space="preserve">ЦЕНА В ГОД (базовый год, с НДС 5%)</t>
  </si>
  <si>
    <t xml:space="preserve">Итого за весь договор (3 года, с индексацией ИПЦ 104%/год)</t>
  </si>
  <si>
    <t xml:space="preserve">3. Численность персонала (реальное штатное расписание из договора)</t>
  </si>
  <si>
    <t xml:space="preserve">Должность</t>
  </si>
  <si>
    <t xml:space="preserve">Чел. (лето)</t>
  </si>
  <si>
    <t xml:space="preserve">Чел. доп. (зима)</t>
  </si>
  <si>
    <t xml:space="preserve">Ставка, ₽/мес</t>
  </si>
  <si>
    <t xml:space="preserve">Статус ставки</t>
  </si>
  <si>
    <t xml:space="preserve">Уборщик производственных и служебных помещений</t>
  </si>
  <si>
    <t xml:space="preserve">проверено — salary_rules.json, Москва</t>
  </si>
  <si>
    <t xml:space="preserve">Бригадир</t>
  </si>
  <si>
    <t xml:space="preserve">ОЦЕНКА — нет подтверждённой ставки</t>
  </si>
  <si>
    <t xml:space="preserve">Уборщик территории</t>
  </si>
  <si>
    <t xml:space="preserve">ОЦЕНКА — по аналогии с дворником (real_salary_benchmarks.json)</t>
  </si>
  <si>
    <t xml:space="preserve">Оператор поломоечной машины</t>
  </si>
  <si>
    <t xml:space="preserve">Автомойщик</t>
  </si>
  <si>
    <t xml:space="preserve">проверено — из этого же договора, salary_rules.json</t>
  </si>
  <si>
    <t xml:space="preserve">Менеджер объекта</t>
  </si>
  <si>
    <t xml:space="preserve">ИТОГО человек (лето)</t>
  </si>
  <si>
    <t xml:space="preserve">ИТОГО человек (зима)</t>
  </si>
  <si>
    <t xml:space="preserve">ФОТ/мес (лето)</t>
  </si>
  <si>
    <t xml:space="preserve">ФОТ/мес (зима, включая доп.персонал)</t>
  </si>
  <si>
    <t xml:space="preserve">ФОТ-надбавка (30,2%, обязательна при официальном оформлении)</t>
  </si>
  <si>
    <t xml:space="preserve">4. Расходные материалы (по нашим нормам consumable_norms.json)</t>
  </si>
  <si>
    <t xml:space="preserve">Наименование материала</t>
  </si>
  <si>
    <t xml:space="preserve">Найдено в прайсе</t>
  </si>
  <si>
    <t xml:space="preserve">Поставщик</t>
  </si>
  <si>
    <t xml:space="preserve">Нужно (натур.)</t>
  </si>
  <si>
    <t xml:space="preserve">Упаковок</t>
  </si>
  <si>
    <t xml:space="preserve">Цена/уп, ₽</t>
  </si>
  <si>
    <t xml:space="preserve">Сумма/мес, ₽</t>
  </si>
  <si>
    <t xml:space="preserve">Пакеты для мусора — крупные (для транспортиро</t>
  </si>
  <si>
    <t xml:space="preserve">Мешки для мусора 35 л 20 шт/ру (conf 0.67)</t>
  </si>
  <si>
    <t xml:space="preserve">ТК Сервис</t>
  </si>
  <si>
    <t xml:space="preserve">26 шт</t>
  </si>
  <si>
    <t xml:space="preserve">Пакеты для мусора — мелкие (для внутренних му</t>
  </si>
  <si>
    <t xml:space="preserve">Мешки для мусора с тесьмой 30  (conf 0.66)</t>
  </si>
  <si>
    <t xml:space="preserve">15964 шт</t>
  </si>
  <si>
    <t xml:space="preserve">Моющее средство для полов и стен</t>
  </si>
  <si>
    <t xml:space="preserve">АиС D202 Моющее средство для п (conf 0.82)</t>
  </si>
  <si>
    <t xml:space="preserve">1996.7 л</t>
  </si>
  <si>
    <t xml:space="preserve">Чистящее средство для унитаза</t>
  </si>
  <si>
    <t xml:space="preserve">Effect ALFA 106  5л чистящее с (conf 0.76)</t>
  </si>
  <si>
    <t xml:space="preserve">223.6 л</t>
  </si>
  <si>
    <t xml:space="preserve">Чистящее средство для сантехники</t>
  </si>
  <si>
    <t xml:space="preserve">Effect ALFA 106  5л чистящее с (conf 0.71)</t>
  </si>
  <si>
    <t xml:space="preserve">167.7 л</t>
  </si>
  <si>
    <t xml:space="preserve">Дезинфицирующее средство для твёрдых поверхно</t>
  </si>
  <si>
    <t xml:space="preserve">Klinin KLORIITTI FORTE 5 л Дез (conf 0.73)</t>
  </si>
  <si>
    <t xml:space="preserve">46.1 л</t>
  </si>
  <si>
    <t xml:space="preserve">Чистящее средство для интерьера</t>
  </si>
  <si>
    <t xml:space="preserve">Effect ALFA 106  5л чистящее с (conf 0.74)</t>
  </si>
  <si>
    <t xml:space="preserve">1198.0 л</t>
  </si>
  <si>
    <t xml:space="preserve">Чистящее средство для оргтехники</t>
  </si>
  <si>
    <t xml:space="preserve">2.0 л</t>
  </si>
  <si>
    <t xml:space="preserve">Средство для мойки стёкол и зеркал</t>
  </si>
  <si>
    <t xml:space="preserve">AVUAR H-15 5л средство для сте (conf 0.82)</t>
  </si>
  <si>
    <t xml:space="preserve">1.5 л</t>
  </si>
  <si>
    <t xml:space="preserve">Салфетки универсальные (микрофибра)</t>
  </si>
  <si>
    <t xml:space="preserve">Салфетка микроволоконная (микр (conf 0.87)</t>
  </si>
  <si>
    <t xml:space="preserve">Альмин Провижн Сервис</t>
  </si>
  <si>
    <t xml:space="preserve">87 шт</t>
  </si>
  <si>
    <t xml:space="preserve">Комплект для уборки (швабра, ведро)</t>
  </si>
  <si>
    <t xml:space="preserve">Ведро с отжимом VILEDA УльтраС (conf 0.67)</t>
  </si>
  <si>
    <t xml:space="preserve">21 шт</t>
  </si>
  <si>
    <t xml:space="preserve">ИТОГО материалы/мес</t>
  </si>
  <si>
    <t xml:space="preserve">Сопоставление с прайсами выполнено автоматически (11/11 найдено). Количество — из consumable_norms.json (площадь×дни уборки); в самом договоре списка материалов с количествами нет.</t>
  </si>
  <si>
    <t xml:space="preserve">5. Оборудование (упомянуто в договоре — не входит в ФОТ)</t>
  </si>
  <si>
    <t xml:space="preserve">Поломоечные машины (3 шт) + промышленные пылесосы (9 шт) — договор не указывает, аренда это или собственность Исполнителя. Наши расценки на технику (territory_equipment_rates.json) — про снегоуборку, сюда не подходят впрямую.</t>
  </si>
  <si>
    <t xml:space="preserve">6. Сверка: наша модель издержек vs реальная цена по договору</t>
  </si>
  <si>
    <t xml:space="preserve">Наша оценка себестоимости/мес (лето): ФОТ + ФОТ-надбавка + материалы</t>
  </si>
  <si>
    <t xml:space="preserve">Реальная цена по договору/мес (лето)</t>
  </si>
  <si>
    <t xml:space="preserve">Разница (накладные+прибыль Исполнителя+неучтённое)</t>
  </si>
  <si>
    <t xml:space="preserve">Если разница большая и положительная — наша модель, скорее всего, недооценивает издержки (неучтённое оборудование/аренда техники, накладные, налоговый режим 5% НДС) ИЛИ у Исполнителя высокая маржа. Если отрицательная — наши ОЦЕНОЧНЫЕ ставки завышены.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</si>
</sst>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₽&quot;;\(#,##0.00&quot; ₽)&quot;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0549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8" min="7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5" t="s">
        <v>4</v>
      </c>
      <c r="B7" s="5" t="n">
        <v>36</v>
      </c>
    </row>
    <row r="8" customFormat="false" ht="15" hidden="false" customHeight="false" outlineLevel="0" collapsed="false">
      <c r="A8" s="5" t="s">
        <v>5</v>
      </c>
      <c r="B8" s="5" t="n">
        <v>15359.27</v>
      </c>
    </row>
    <row r="10" customFormat="false" ht="15" hidden="false" customHeight="false" outlineLevel="0" collapsed="false">
      <c r="A10" s="4" t="s">
        <v>6</v>
      </c>
    </row>
    <row r="11" customFormat="false" ht="16.15" hidden="false" customHeight="false" outlineLevel="0" collapsed="false">
      <c r="A11" s="6" t="s">
        <v>7</v>
      </c>
      <c r="B11" s="7" t="n">
        <v>2334071.96</v>
      </c>
    </row>
    <row r="12" customFormat="false" ht="16.15" hidden="false" customHeight="false" outlineLevel="0" collapsed="false">
      <c r="A12" s="6" t="s">
        <v>8</v>
      </c>
      <c r="B12" s="7" t="n">
        <v>2004000</v>
      </c>
    </row>
    <row r="13" customFormat="false" ht="16.15" hidden="false" customHeight="false" outlineLevel="0" collapsed="false">
      <c r="A13" s="6" t="s">
        <v>9</v>
      </c>
      <c r="B13" s="7" t="n">
        <v>25698359.8</v>
      </c>
    </row>
    <row r="14" customFormat="false" ht="15" hidden="false" customHeight="false" outlineLevel="0" collapsed="false">
      <c r="A14" s="5" t="s">
        <v>10</v>
      </c>
      <c r="B14" s="8" t="n">
        <v>80219999.96</v>
      </c>
    </row>
    <row r="16" customFormat="false" ht="15" hidden="false" customHeight="false" outlineLevel="0" collapsed="false">
      <c r="A16" s="4" t="s">
        <v>11</v>
      </c>
    </row>
    <row r="17" customFormat="false" ht="15" hidden="false" customHeight="false" outlineLevel="0" collapsed="false">
      <c r="A17" s="9" t="s">
        <v>12</v>
      </c>
      <c r="B17" s="9" t="s">
        <v>13</v>
      </c>
      <c r="C17" s="9" t="s">
        <v>14</v>
      </c>
      <c r="D17" s="9" t="s">
        <v>15</v>
      </c>
      <c r="E17" s="9" t="s">
        <v>16</v>
      </c>
    </row>
    <row r="18" customFormat="false" ht="15" hidden="false" customHeight="false" outlineLevel="0" collapsed="false">
      <c r="A18" s="10" t="s">
        <v>17</v>
      </c>
      <c r="B18" s="10" t="n">
        <v>15</v>
      </c>
      <c r="C18" s="10" t="n">
        <v>0</v>
      </c>
      <c r="D18" s="11" t="n">
        <v>80000</v>
      </c>
      <c r="E18" s="10" t="s">
        <v>18</v>
      </c>
    </row>
    <row r="19" customFormat="false" ht="15" hidden="false" customHeight="false" outlineLevel="0" collapsed="false">
      <c r="A19" s="10" t="s">
        <v>19</v>
      </c>
      <c r="B19" s="10" t="n">
        <v>1</v>
      </c>
      <c r="C19" s="10" t="n">
        <v>0</v>
      </c>
      <c r="D19" s="12" t="n">
        <v>95000</v>
      </c>
      <c r="E19" s="10" t="s">
        <v>20</v>
      </c>
    </row>
    <row r="20" customFormat="false" ht="15" hidden="false" customHeight="false" outlineLevel="0" collapsed="false">
      <c r="A20" s="10" t="s">
        <v>21</v>
      </c>
      <c r="B20" s="10" t="n">
        <v>1</v>
      </c>
      <c r="C20" s="10" t="n">
        <v>1</v>
      </c>
      <c r="D20" s="12" t="n">
        <v>75000</v>
      </c>
      <c r="E20" s="10" t="s">
        <v>22</v>
      </c>
    </row>
    <row r="21" customFormat="false" ht="15" hidden="false" customHeight="false" outlineLevel="0" collapsed="false">
      <c r="A21" s="10" t="s">
        <v>23</v>
      </c>
      <c r="B21" s="10" t="n">
        <v>1</v>
      </c>
      <c r="C21" s="10" t="n">
        <v>1</v>
      </c>
      <c r="D21" s="12" t="n">
        <v>85000</v>
      </c>
      <c r="E21" s="10" t="s">
        <v>20</v>
      </c>
    </row>
    <row r="22" customFormat="false" ht="15" hidden="false" customHeight="false" outlineLevel="0" collapsed="false">
      <c r="A22" s="10" t="s">
        <v>24</v>
      </c>
      <c r="B22" s="10" t="n">
        <v>1</v>
      </c>
      <c r="C22" s="10" t="n">
        <v>0</v>
      </c>
      <c r="D22" s="11" t="n">
        <v>90000</v>
      </c>
      <c r="E22" s="10" t="s">
        <v>25</v>
      </c>
    </row>
    <row r="23" customFormat="false" ht="15" hidden="false" customHeight="false" outlineLevel="0" collapsed="false">
      <c r="A23" s="10" t="s">
        <v>26</v>
      </c>
      <c r="B23" s="10" t="n">
        <v>1</v>
      </c>
      <c r="C23" s="10" t="n">
        <v>0</v>
      </c>
      <c r="D23" s="12" t="n">
        <v>110000</v>
      </c>
      <c r="E23" s="10" t="s">
        <v>20</v>
      </c>
    </row>
    <row r="24" customFormat="false" ht="15" hidden="false" customHeight="false" outlineLevel="0" collapsed="false">
      <c r="A24" s="13" t="s">
        <v>27</v>
      </c>
      <c r="B24" s="13" t="n">
        <f aca="false">SUM(B18:B23)</f>
        <v>20</v>
      </c>
      <c r="C24" s="5"/>
      <c r="D24" s="5"/>
    </row>
    <row r="25" customFormat="false" ht="15" hidden="false" customHeight="false" outlineLevel="0" collapsed="false">
      <c r="A25" s="13" t="s">
        <v>28</v>
      </c>
      <c r="B25" s="13" t="n">
        <f aca="false">B24+SUM(C18:C23)</f>
        <v>22</v>
      </c>
      <c r="C25" s="5"/>
      <c r="D25" s="5"/>
    </row>
    <row r="26" customFormat="false" ht="15" hidden="false" customHeight="false" outlineLevel="0" collapsed="false">
      <c r="A26" s="5"/>
      <c r="B26" s="5"/>
      <c r="C26" s="5"/>
      <c r="D26" s="5"/>
    </row>
    <row r="27" customFormat="false" ht="15" hidden="false" customHeight="false" outlineLevel="0" collapsed="false">
      <c r="A27" s="13" t="s">
        <v>29</v>
      </c>
      <c r="B27" s="14" t="n">
        <f aca="false">SUMPRODUCT(B18:B23,D18:D23)</f>
        <v>1655000</v>
      </c>
      <c r="C27" s="5"/>
      <c r="D27" s="5"/>
    </row>
    <row r="28" customFormat="false" ht="15" hidden="false" customHeight="false" outlineLevel="0" collapsed="false">
      <c r="A28" s="13" t="s">
        <v>30</v>
      </c>
      <c r="B28" s="14" t="n">
        <f aca="false">B27+SUMPRODUCT(C18:C23,D18:D23)</f>
        <v>1815000</v>
      </c>
      <c r="C28" s="5"/>
      <c r="D28" s="5"/>
    </row>
    <row r="29" customFormat="false" ht="15" hidden="false" customHeight="false" outlineLevel="0" collapsed="false">
      <c r="A29" s="5" t="s">
        <v>31</v>
      </c>
      <c r="B29" s="8" t="n">
        <f aca="false">B27*0.302</f>
        <v>499810</v>
      </c>
      <c r="C29" s="5"/>
      <c r="D29" s="5"/>
    </row>
    <row r="31" customFormat="false" ht="15" hidden="false" customHeight="false" outlineLevel="0" collapsed="false">
      <c r="A31" s="4" t="s">
        <v>32</v>
      </c>
    </row>
    <row r="32" customFormat="false" ht="15" hidden="false" customHeight="false" outlineLevel="0" collapsed="false">
      <c r="A32" s="9" t="s">
        <v>33</v>
      </c>
      <c r="B32" s="9" t="s">
        <v>34</v>
      </c>
      <c r="C32" s="9" t="s">
        <v>35</v>
      </c>
      <c r="D32" s="9" t="s">
        <v>36</v>
      </c>
      <c r="E32" s="9" t="s">
        <v>37</v>
      </c>
      <c r="F32" s="9" t="s">
        <v>38</v>
      </c>
      <c r="G32" s="9" t="s">
        <v>39</v>
      </c>
    </row>
    <row r="33" customFormat="false" ht="15" hidden="false" customHeight="false" outlineLevel="0" collapsed="false">
      <c r="A33" s="5" t="s">
        <v>40</v>
      </c>
      <c r="B33" s="10" t="s">
        <v>41</v>
      </c>
      <c r="C33" s="10" t="s">
        <v>42</v>
      </c>
      <c r="D33" s="10" t="s">
        <v>43</v>
      </c>
      <c r="E33" s="10" t="n">
        <v>2</v>
      </c>
      <c r="F33" s="11" t="n">
        <v>67.68</v>
      </c>
      <c r="G33" s="11" t="n">
        <f aca="false">E33*F33</f>
        <v>135.36</v>
      </c>
    </row>
    <row r="34" customFormat="false" ht="15" hidden="false" customHeight="false" outlineLevel="0" collapsed="false">
      <c r="A34" s="5" t="s">
        <v>44</v>
      </c>
      <c r="B34" s="10" t="s">
        <v>45</v>
      </c>
      <c r="C34" s="10" t="s">
        <v>42</v>
      </c>
      <c r="D34" s="10" t="s">
        <v>46</v>
      </c>
      <c r="E34" s="10" t="n">
        <v>799</v>
      </c>
      <c r="F34" s="11" t="n">
        <v>104.88</v>
      </c>
      <c r="G34" s="11" t="n">
        <f aca="false">E34*F34</f>
        <v>83799.12</v>
      </c>
    </row>
    <row r="35" customFormat="false" ht="15" hidden="false" customHeight="false" outlineLevel="0" collapsed="false">
      <c r="A35" s="5" t="s">
        <v>47</v>
      </c>
      <c r="B35" s="10" t="s">
        <v>48</v>
      </c>
      <c r="C35" s="10" t="s">
        <v>42</v>
      </c>
      <c r="D35" s="10" t="s">
        <v>49</v>
      </c>
      <c r="E35" s="10" t="n">
        <v>400</v>
      </c>
      <c r="F35" s="11" t="n">
        <v>614</v>
      </c>
      <c r="G35" s="11" t="n">
        <f aca="false">E35*F35</f>
        <v>245600</v>
      </c>
    </row>
    <row r="36" customFormat="false" ht="15" hidden="false" customHeight="false" outlineLevel="0" collapsed="false">
      <c r="A36" s="5" t="s">
        <v>50</v>
      </c>
      <c r="B36" s="10" t="s">
        <v>51</v>
      </c>
      <c r="C36" s="10" t="s">
        <v>42</v>
      </c>
      <c r="D36" s="10" t="s">
        <v>52</v>
      </c>
      <c r="E36" s="10" t="n">
        <v>45</v>
      </c>
      <c r="F36" s="11" t="n">
        <v>475.41</v>
      </c>
      <c r="G36" s="11" t="n">
        <f aca="false">E36*F36</f>
        <v>21393.45</v>
      </c>
    </row>
    <row r="37" customFormat="false" ht="15" hidden="false" customHeight="false" outlineLevel="0" collapsed="false">
      <c r="A37" s="5" t="s">
        <v>53</v>
      </c>
      <c r="B37" s="10" t="s">
        <v>54</v>
      </c>
      <c r="C37" s="10" t="s">
        <v>42</v>
      </c>
      <c r="D37" s="10" t="s">
        <v>55</v>
      </c>
      <c r="E37" s="10" t="n">
        <v>34</v>
      </c>
      <c r="F37" s="11" t="n">
        <v>475.41</v>
      </c>
      <c r="G37" s="11" t="n">
        <f aca="false">E37*F37</f>
        <v>16163.94</v>
      </c>
    </row>
    <row r="38" customFormat="false" ht="15" hidden="false" customHeight="false" outlineLevel="0" collapsed="false">
      <c r="A38" s="5" t="s">
        <v>56</v>
      </c>
      <c r="B38" s="10" t="s">
        <v>57</v>
      </c>
      <c r="C38" s="10" t="s">
        <v>42</v>
      </c>
      <c r="D38" s="10" t="s">
        <v>58</v>
      </c>
      <c r="E38" s="10" t="n">
        <v>10</v>
      </c>
      <c r="F38" s="11" t="n">
        <v>1423.38</v>
      </c>
      <c r="G38" s="11" t="n">
        <f aca="false">E38*F38</f>
        <v>14233.8</v>
      </c>
    </row>
    <row r="39" customFormat="false" ht="15" hidden="false" customHeight="false" outlineLevel="0" collapsed="false">
      <c r="A39" s="5" t="s">
        <v>59</v>
      </c>
      <c r="B39" s="10" t="s">
        <v>60</v>
      </c>
      <c r="C39" s="10" t="s">
        <v>42</v>
      </c>
      <c r="D39" s="10" t="s">
        <v>61</v>
      </c>
      <c r="E39" s="10" t="n">
        <v>240</v>
      </c>
      <c r="F39" s="11" t="n">
        <v>475.41</v>
      </c>
      <c r="G39" s="11" t="n">
        <f aca="false">E39*F39</f>
        <v>114098.4</v>
      </c>
    </row>
    <row r="40" customFormat="false" ht="15" hidden="false" customHeight="false" outlineLevel="0" collapsed="false">
      <c r="A40" s="5" t="s">
        <v>62</v>
      </c>
      <c r="B40" s="10" t="s">
        <v>54</v>
      </c>
      <c r="C40" s="10" t="s">
        <v>42</v>
      </c>
      <c r="D40" s="10" t="s">
        <v>63</v>
      </c>
      <c r="E40" s="10" t="n">
        <v>1</v>
      </c>
      <c r="F40" s="11" t="n">
        <v>475.41</v>
      </c>
      <c r="G40" s="11" t="n">
        <f aca="false">E40*F40</f>
        <v>475.41</v>
      </c>
    </row>
    <row r="41" customFormat="false" ht="15" hidden="false" customHeight="false" outlineLevel="0" collapsed="false">
      <c r="A41" s="5" t="s">
        <v>64</v>
      </c>
      <c r="B41" s="10" t="s">
        <v>65</v>
      </c>
      <c r="C41" s="10" t="s">
        <v>42</v>
      </c>
      <c r="D41" s="10" t="s">
        <v>66</v>
      </c>
      <c r="E41" s="10" t="n">
        <v>1</v>
      </c>
      <c r="F41" s="11" t="n">
        <v>361.89</v>
      </c>
      <c r="G41" s="11" t="n">
        <f aca="false">E41*F41</f>
        <v>361.89</v>
      </c>
    </row>
    <row r="42" customFormat="false" ht="15" hidden="false" customHeight="false" outlineLevel="0" collapsed="false">
      <c r="A42" s="5" t="s">
        <v>67</v>
      </c>
      <c r="B42" s="10" t="s">
        <v>68</v>
      </c>
      <c r="C42" s="10" t="s">
        <v>69</v>
      </c>
      <c r="D42" s="10" t="s">
        <v>70</v>
      </c>
      <c r="E42" s="10" t="n">
        <v>87</v>
      </c>
      <c r="F42" s="11" t="n">
        <v>18.94</v>
      </c>
      <c r="G42" s="11" t="n">
        <f aca="false">E42*F42</f>
        <v>1647.78</v>
      </c>
    </row>
    <row r="43" customFormat="false" ht="15" hidden="false" customHeight="false" outlineLevel="0" collapsed="false">
      <c r="A43" s="5" t="s">
        <v>71</v>
      </c>
      <c r="B43" s="10" t="s">
        <v>72</v>
      </c>
      <c r="C43" s="10" t="s">
        <v>42</v>
      </c>
      <c r="D43" s="10" t="s">
        <v>73</v>
      </c>
      <c r="E43" s="10" t="n">
        <v>21</v>
      </c>
      <c r="F43" s="11" t="n">
        <v>6986.23</v>
      </c>
      <c r="G43" s="11" t="n">
        <f aca="false">E43*F43</f>
        <v>146710.83</v>
      </c>
    </row>
    <row r="44" customFormat="false" ht="15" hidden="false" customHeight="false" outlineLevel="0" collapsed="false">
      <c r="A44" s="15" t="s">
        <v>74</v>
      </c>
      <c r="G44" s="16" t="n">
        <f aca="false">SUM(G33:G43)</f>
        <v>644619.98</v>
      </c>
    </row>
    <row r="45" customFormat="false" ht="15" hidden="false" customHeight="false" outlineLevel="0" collapsed="false">
      <c r="A45" s="17" t="s">
        <v>75</v>
      </c>
      <c r="B45" s="17"/>
      <c r="C45" s="17"/>
      <c r="D45" s="17"/>
      <c r="E45" s="17"/>
      <c r="F45" s="17"/>
      <c r="G45" s="17"/>
    </row>
    <row r="47" customFormat="false" ht="15" hidden="false" customHeight="false" outlineLevel="0" collapsed="false">
      <c r="A47" s="4" t="s">
        <v>76</v>
      </c>
    </row>
    <row r="48" customFormat="false" ht="15" hidden="false" customHeight="false" outlineLevel="0" collapsed="false">
      <c r="A48" s="17" t="s">
        <v>77</v>
      </c>
      <c r="B48" s="17"/>
      <c r="C48" s="17"/>
      <c r="D48" s="17"/>
      <c r="E48" s="17"/>
      <c r="F48" s="17"/>
      <c r="G48" s="17"/>
    </row>
    <row r="50" customFormat="false" ht="15" hidden="false" customHeight="false" outlineLevel="0" collapsed="false">
      <c r="A50" s="4" t="s">
        <v>78</v>
      </c>
    </row>
    <row r="51" customFormat="false" ht="15" hidden="false" customHeight="false" outlineLevel="0" collapsed="false">
      <c r="A51" s="15" t="s">
        <v>79</v>
      </c>
      <c r="B51" s="16" t="n">
        <f aca="false">B27+B29+G44</f>
        <v>2799429.98</v>
      </c>
    </row>
    <row r="52" customFormat="false" ht="15" hidden="false" customHeight="false" outlineLevel="0" collapsed="false">
      <c r="A52" s="0" t="s">
        <v>80</v>
      </c>
      <c r="B52" s="18" t="n">
        <f aca="false">B12</f>
        <v>2004000</v>
      </c>
    </row>
    <row r="53" customFormat="false" ht="15" hidden="false" customHeight="false" outlineLevel="0" collapsed="false">
      <c r="A53" s="15" t="s">
        <v>81</v>
      </c>
      <c r="B53" s="16" t="n">
        <f aca="false">B12-B51</f>
        <v>-795429.98</v>
      </c>
    </row>
    <row r="54" customFormat="false" ht="15" hidden="false" customHeight="false" outlineLevel="0" collapsed="false">
      <c r="A54" s="17" t="s">
        <v>82</v>
      </c>
      <c r="B54" s="17"/>
      <c r="C54" s="17"/>
      <c r="D54" s="17"/>
      <c r="E54" s="17"/>
      <c r="F54" s="17"/>
      <c r="G54" s="17"/>
    </row>
  </sheetData>
  <mergeCells count="3">
    <mergeCell ref="A45:G45"/>
    <mergeCell ref="A48:G48"/>
    <mergeCell ref="A54:G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2026-09-22T11:23:36Z</dcterms:created>
  <dc:creator>openpyxl</dc:creator>
  <dc:description/>
  <dc:language>en-US</dc:language>
  <cp:lastModifiedBy/>
  <dcterms:modified xsi:type="dcterms:W3CDTF">2026-09-22T11:23:38Z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