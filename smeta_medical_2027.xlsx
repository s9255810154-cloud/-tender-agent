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<sst xmlns="http://schemas.openxmlformats.org/spreadsheetml/2006/main" count="26" uniqueCount="26">
  <si>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Смета — Уборка помещений медицинской организации, 2027 год</t>
  </si>
  <si>
    <t xml:space="preserve">Дата: 2026-09-21</t>
  </si>
  <si>
    <t xml:space="preserve">ВАЖНО: официальной сметы заказчика к этому ТЗ не приложено — это первый проход по методике, не сверенный с government-audited цифрами.</t>
  </si>
  <si>
    <t xml:space="preserve">Жёлтые ячейки — допущения, требуют проверки эксперта</t>
  </si>
  <si>
    <t xml:space="preserve">0. Объекты (из Приложения 3, реальные площади)</t>
  </si>
  <si>
    <t xml:space="preserve">Корпус</t>
  </si>
  <si>
    <t xml:space="preserve">Этажей</t>
  </si>
  <si>
    <t xml:space="preserve">Площадь, м²</t>
  </si>
  <si>
    <t xml:space="preserve">Ермолаевский пер., д.22/26, стр.1</t>
  </si>
  <si>
    <t xml:space="preserve">Даев пер., д.3, стр.1</t>
  </si>
  <si>
    <t xml:space="preserve">Протопоповский пер., д.19, стр.15</t>
  </si>
  <si>
    <t xml:space="preserve">ИТОГО площадь</t>
  </si>
  <si>
    <t xml:space="preserve">1. Трудозатраты</t>
  </si>
  <si>
    <t xml:space="preserve">Норматив, м²/чел (базовый, с поправкой на многократную уборку)</t>
  </si>
  <si>
    <t xml:space="preserve">370.4 (Роструд) / 1.1 (поправка за &gt;1 уборки/смену). Медицина по регламенту требует до 4 обработок/день по отдельным элементам — возможно, стоит взять норматив ЕЩЁ ниже.</t>
  </si>
  <si>
    <t xml:space="preserve">Численность (расчёт)</t>
  </si>
  <si>
    <t xml:space="preserve">Оклад, ₽/мес (ЕМИСС/Росстат, комплексное обслуживание помещений, Москва 2025)</t>
  </si>
  <si>
    <t xml:space="preserve">Срок контракта, мес</t>
  </si>
  <si>
    <t xml:space="preserve">ИТОГО ФОТ за контракт</t>
  </si>
  <si>
    <t xml:space="preserve">2. Материалы (предварительная оценка по площади)</t>
  </si>
  <si>
    <t xml:space="preserve">Норма расхода, ₽/м²/год (медицинские нормы дезинфекции — ВЫШЕ обычного офиса)</t>
  </si>
  <si>
    <t xml:space="preserve">ГРУБАЯ оценка агента — нет официальных расценок для этого объекта (в отличие от Лужников). Медицинская дезинфекция (СанПиН, классы Г/В) обычно дороже обычного клининга. ПРОВЕРИТЬ по факту закупочных цен.</t>
  </si>
  <si>
    <t xml:space="preserve">ИТОГО материалы за контракт</t>
  </si>
  <si>
    <t xml:space="preserve">ИТОГО СЕБЕСТОИМОСТЬ (ФОТ + материалы)</t>
  </si>
  <si>
    <t xml:space="preserve">Себестоимость в месяц</t>
  </si>
  <si>
    <t xml:space="preserve">НЕ включено: накладные расходы, сметная прибыль, НДС — добавьте по вашей практике (см. примеры Лужники/Большой Головин). Периодичность по регламенту (до 4х уборок/день для отдельных элементов, классы Г/В) не разложена по операциям — норматив выше УСРЕДНЁННЫЙ, не детальный ГЭСН-расчёт.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</si>
</sst>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.00&quot; ₽&quot;;\(#,##0.00&quot; ₽)&quot;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8" customFormat="false" ht="15" hidden="false" customHeight="false" outlineLevel="0" collapsed="false">
      <c r="A8" s="5" t="s">
        <v>4</v>
      </c>
    </row>
    <row r="9" customFormat="false" ht="15" hidden="false" customHeight="false" outlineLevel="0" collapsed="false">
      <c r="A9" s="6" t="s">
        <v>5</v>
      </c>
      <c r="B9" s="6" t="s">
        <v>6</v>
      </c>
      <c r="C9" s="6" t="s">
        <v>7</v>
      </c>
    </row>
    <row r="10" customFormat="false" ht="15" hidden="false" customHeight="false" outlineLevel="0" collapsed="false">
      <c r="A10" s="7" t="s">
        <v>8</v>
      </c>
      <c r="B10" s="7" t="n">
        <v>8</v>
      </c>
      <c r="C10" s="8" t="n">
        <v>5454.5</v>
      </c>
    </row>
    <row r="11" customFormat="false" ht="15" hidden="false" customHeight="false" outlineLevel="0" collapsed="false">
      <c r="A11" s="7" t="s">
        <v>9</v>
      </c>
      <c r="B11" s="7" t="n">
        <v>7</v>
      </c>
      <c r="C11" s="8" t="n">
        <v>7629.8</v>
      </c>
    </row>
    <row r="12" customFormat="false" ht="15" hidden="false" customHeight="false" outlineLevel="0" collapsed="false">
      <c r="A12" s="7" t="s">
        <v>10</v>
      </c>
      <c r="B12" s="7" t="n">
        <v>5</v>
      </c>
      <c r="C12" s="8" t="n">
        <v>2942.6</v>
      </c>
    </row>
    <row r="13" customFormat="false" ht="15" hidden="false" customHeight="false" outlineLevel="0" collapsed="false">
      <c r="A13" s="5" t="s">
        <v>11</v>
      </c>
      <c r="C13" s="5" t="n">
        <f aca="false">SUM(C10:C12)</f>
        <v>16026.9</v>
      </c>
    </row>
    <row r="15" customFormat="false" ht="15" hidden="false" customHeight="false" outlineLevel="0" collapsed="false">
      <c r="A15" s="5" t="s">
        <v>12</v>
      </c>
    </row>
    <row r="16" customFormat="false" ht="15" hidden="false" customHeight="false" outlineLevel="0" collapsed="false">
      <c r="A16" s="2" t="s">
        <v>13</v>
      </c>
      <c r="B16" s="9" t="n">
        <v>336.7</v>
      </c>
      <c r="E16" s="10" t="s">
        <v>14</v>
      </c>
    </row>
    <row r="18" customFormat="false" ht="15" hidden="false" customHeight="false" outlineLevel="0" collapsed="false">
      <c r="A18" s="11" t="s">
        <v>15</v>
      </c>
      <c r="B18" s="11" t="n">
        <f aca="false">ROUNDUP(C13/B16,0)</f>
        <v>48</v>
      </c>
    </row>
    <row r="19" customFormat="false" ht="15" hidden="false" customHeight="false" outlineLevel="0" collapsed="false">
      <c r="A19" s="2" t="s">
        <v>16</v>
      </c>
      <c r="B19" s="12" t="n">
        <v>79181.1</v>
      </c>
    </row>
    <row r="20" customFormat="false" ht="15" hidden="false" customHeight="false" outlineLevel="0" collapsed="false">
      <c r="A20" s="2" t="s">
        <v>17</v>
      </c>
      <c r="B20" s="9" t="n">
        <v>12</v>
      </c>
    </row>
    <row r="22" customFormat="false" ht="15" hidden="false" customHeight="false" outlineLevel="0" collapsed="false">
      <c r="A22" s="5" t="s">
        <v>18</v>
      </c>
      <c r="B22" s="13" t="n">
        <f aca="false">B18*B19*B20</f>
        <v>45608313.6</v>
      </c>
    </row>
    <row r="24" customFormat="false" ht="15" hidden="false" customHeight="false" outlineLevel="0" collapsed="false">
      <c r="A24" s="5" t="s">
        <v>19</v>
      </c>
    </row>
    <row r="25" customFormat="false" ht="15" hidden="false" customHeight="false" outlineLevel="0" collapsed="false">
      <c r="A25" s="2" t="s">
        <v>20</v>
      </c>
      <c r="B25" s="9" t="n">
        <v>450</v>
      </c>
      <c r="E25" s="10" t="s">
        <v>21</v>
      </c>
    </row>
    <row r="27" customFormat="false" ht="15" hidden="false" customHeight="false" outlineLevel="0" collapsed="false">
      <c r="A27" s="5" t="s">
        <v>22</v>
      </c>
      <c r="B27" s="13" t="n">
        <f aca="false">C13*B25</f>
        <v>7212105</v>
      </c>
    </row>
    <row r="29" customFormat="false" ht="16.15" hidden="false" customHeight="false" outlineLevel="0" collapsed="false">
      <c r="A29" s="14" t="s">
        <v>23</v>
      </c>
      <c r="B29" s="15" t="n">
        <f aca="false">B22+B27</f>
        <v>52820418.6</v>
      </c>
    </row>
    <row r="30" customFormat="false" ht="15" hidden="false" customHeight="false" outlineLevel="0" collapsed="false">
      <c r="A30" s="11" t="s">
        <v>24</v>
      </c>
      <c r="B30" s="16" t="n">
        <f aca="false">B29/B20</f>
        <v>4401701.55</v>
      </c>
    </row>
    <row r="32" customFormat="false" ht="15" hidden="false" customHeight="false" outlineLevel="0" collapsed="false">
      <c r="A32" s="17" t="s">
        <v>25</v>
      </c>
      <c r="B32" s="17"/>
      <c r="C32" s="17"/>
      <c r="D32" s="17"/>
      <c r="E32" s="17"/>
    </row>
  </sheetData>
  <mergeCells count="1"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2026-09-21T10:20:50Z</dcterms:created>
  <dc:creator>openpyxl</dc:creator>
  <dc:description/>
  <dc:language>en-US</dc:language>
  <cp:lastModifiedBy/>
  <dcterms:modified xsi:type="dcterms:W3CDTF">2026-09-21T10:20:50Z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