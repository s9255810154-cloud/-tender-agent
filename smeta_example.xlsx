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  <sheet name="Альтернатив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<sst xmlns="http://schemas.openxmlformats.org/spreadsheetml/2006/main" count="142" uniqueCount="90">
  <si>
    <t xml:space="preserve">Смета — Комплексная уборка, Бутырская/Новый Арбат</t>
  </si>
  <si>
    <t xml:space="preserve">Регион: Москва</t>
  </si>
  <si>
    <t xml:space="preserve">Дата формирования: 2026-09-17</t>
  </si>
  <si>
    <t xml:space="preserve">Тендер: zakupki.gov.ru/... (пример)</t>
  </si>
  <si>
    <t xml:space="preserve">Жёлтые ячейки — ввод/проверка экспертом</t>
  </si>
  <si>
    <t xml:space="preserve">Розовые ячейки — низкая уверенность сопоставления, нужна проверка</t>
  </si>
  <si>
    <t xml:space="preserve">1. Трудозатраты</t>
  </si>
  <si>
    <t xml:space="preserve">Оклад, руб/мес (проверить по региону/сложности)</t>
  </si>
  <si>
    <t xml:space="preserve">Численность — оценка по площади объекта</t>
  </si>
  <si>
    <t xml:space="preserve">Численность — оценка по графику/часам</t>
  </si>
  <si>
    <t xml:space="preserve">Численность — принято к расчёту (подтвердить!)</t>
  </si>
  <si>
    <t xml:space="preserve">Срок контракта, мес</t>
  </si>
  <si>
    <t xml:space="preserve">Итого ФОТ за весь срок контракта</t>
  </si>
  <si>
    <t xml:space="preserve">2. Расходные материалы</t>
  </si>
  <si>
    <t xml:space="preserve">Позиция ТЗ</t>
  </si>
  <si>
    <t xml:space="preserve">Кол-во (ТЗ)</t>
  </si>
  <si>
    <t xml:space="preserve">Найдено в прайсе</t>
  </si>
  <si>
    <t xml:space="preserve">Поставщик</t>
  </si>
  <si>
    <t xml:space="preserve">Цена за ед., ₽</t>
  </si>
  <si>
    <t xml:space="preserve">Сумма, ₽</t>
  </si>
  <si>
    <t xml:space="preserve">Confidence</t>
  </si>
  <si>
    <t xml:space="preserve">Проверка</t>
  </si>
  <si>
    <t xml:space="preserve">Туалетная бумага от 16 м. 2х ГОСТ Р 52354-2025</t>
  </si>
  <si>
    <t xml:space="preserve">Туалетная бумага "Linia Veiro 2XL" белая 2 сл. 240л. 8рул.1/6</t>
  </si>
  <si>
    <t xml:space="preserve">Поставщик 2 (уточнить название)</t>
  </si>
  <si>
    <t xml:space="preserve">альтернатив: 7</t>
  </si>
  <si>
    <t xml:space="preserve">Мыло жидкое туалетное 5 л с антибактериальным эффектом</t>
  </si>
  <si>
    <t xml:space="preserve">Крем-мыло жидкое 5 л ХЛОПОК "Альмишка" 1/1</t>
  </si>
  <si>
    <t xml:space="preserve">Альмин Провижн Сервис</t>
  </si>
  <si>
    <t xml:space="preserve">ок</t>
  </si>
  <si>
    <t xml:space="preserve">Пакеты для мусора 120 л, плотность не менее 20 мкм</t>
  </si>
  <si>
    <t xml:space="preserve">Мешки для мусора 120 л 20мкм 20 шт/рул. синие 70х110см 1/17</t>
  </si>
  <si>
    <t xml:space="preserve">проверить; альтернатив: 7</t>
  </si>
  <si>
    <t xml:space="preserve">Полотенце бумажное листовое V-сложения 2-слойное белое</t>
  </si>
  <si>
    <t xml:space="preserve">Полотенце бумажное листовое 2-сл 210х230 мм 200 лист/пачке ПРЕМИУМ V-сложение (ZZ) БЕЛОЕ ЦЕЛЛЮЛОЗА "SoffiPRO" 1/20</t>
  </si>
  <si>
    <t xml:space="preserve">проверить; цена не нормализована (разные ед.изм.); альтернатив: 7</t>
  </si>
  <si>
    <t xml:space="preserve">Перчатки латексные хозяйственные размер XL</t>
  </si>
  <si>
    <t xml:space="preserve">Перчатки латексные синие, прочные 50 шт. "High Risk" XL 1/10 Benovy /ЧЗ</t>
  </si>
  <si>
    <t xml:space="preserve">альтернатив: 1</t>
  </si>
  <si>
    <t xml:space="preserve">Средство для мытья полов, объём 5 л, нейтральный pH</t>
  </si>
  <si>
    <t xml:space="preserve">VORTEX COMFORT SOFT CleanBox Professional Средство для мытья пола нейтральное низкопенное 5л  1/3 ЧЗ</t>
  </si>
  <si>
    <t xml:space="preserve">альтернатив: 3</t>
  </si>
  <si>
    <t xml:space="preserve">Дозирующая насадка для жидкого мыла, пенообразующая</t>
  </si>
  <si>
    <t xml:space="preserve">МОП 40 см хлопок для металлической рамки</t>
  </si>
  <si>
    <t xml:space="preserve">Итого материалы</t>
  </si>
  <si>
    <t xml:space="preserve">3. Накладные расходы и маржа</t>
  </si>
  <si>
    <t xml:space="preserve">Наценка, % (экспертная оценка — агент не считает сам)</t>
  </si>
  <si>
    <t xml:space="preserve">ИТОГО СЕБЕСТОИМОСТЬ (ФОТ + материалы)</t>
  </si>
  <si>
    <t xml:space="preserve">ИТОГО СМЕТА (с наценкой)</t>
  </si>
  <si>
    <t xml:space="preserve">Источники сумм: B — расчёт кода (детерминированная арифметика), желтые ячейки — ввод/проверка эксперта. Смета не отправляется заказчику без подтверждения эксперта (численность, наценка, позиции без прайса).</t>
  </si>
  <si>
    <t xml:space="preserve">Кандидат</t>
  </si>
  <si>
    <t xml:space="preserve">Цена, ₽</t>
  </si>
  <si>
    <t xml:space="preserve">✓ ВЫБРАНО: Туалетная бумага "Linia Veiro 2XL" белая 2 сл. 240л. 8рул.1/6</t>
  </si>
  <si>
    <t xml:space="preserve">Туалетная бумага "Торк Комфорт" белая 2 сл. 184л. 4 рул  1/24</t>
  </si>
  <si>
    <t xml:space="preserve">Туалетная  бумага листовая 2сл.250л. 21*11 PROtissue 1/40</t>
  </si>
  <si>
    <t xml:space="preserve">Туалетная  бумага листовая 2сл.250л. 23*10,8 Focus SMART 1/15</t>
  </si>
  <si>
    <t xml:space="preserve">Туалетная  бумага листовая 2сл.250л. 23*10,8 Focus Premium 1/15</t>
  </si>
  <si>
    <t xml:space="preserve">Туалетная бумага "Торк/Tellus Премиум" белая 2 сл. 184л. 8 рул  1/12</t>
  </si>
  <si>
    <t xml:space="preserve">Туалетная бумага "Familia Plus" белая 2 сл. 170л. 8 рул. 1/6</t>
  </si>
  <si>
    <t xml:space="preserve">Туалетная бумага "Reina Aroma" Цветочная свежесть 2 сл. 144л. 4 рул. 1/12</t>
  </si>
  <si>
    <t xml:space="preserve">✓ ВЫБРАНО: Мешки для мусора 120 л 20мкм 20 шт/рул. синие 70х110см 1/17</t>
  </si>
  <si>
    <t xml:space="preserve">Мешки для мусора 120 л ПВД 25мкм 20 шт/пласт желтые MERIDA ПРЕМИУМ 1/1</t>
  </si>
  <si>
    <t xml:space="preserve">Мешки для мусора 120 л ПВД 55мкм 20 шт/пласт черные MERIDA ПРЕМИУМ 1/1</t>
  </si>
  <si>
    <t xml:space="preserve">Мешки для мусора 120 л 90мкм 20 шт/рул. синие 70х108см 1/6</t>
  </si>
  <si>
    <t xml:space="preserve">Мешки для мусора 120 л ПВД 25мкм 20 шт/пласт зеленые MERIDA ПРЕМИУМ 1/1</t>
  </si>
  <si>
    <t xml:space="preserve">Мешки для мусора 120 л ПВД 25мкм 20 шт/пласт красные MERIDA ПРЕМИУМ 1/1</t>
  </si>
  <si>
    <t xml:space="preserve">Мешки для мусора 120 л 55мкм 20 шт/рул. черные 70х110см 1/10</t>
  </si>
  <si>
    <t xml:space="preserve">Grass Мешки для мусора 120 л 15 шт/рул. черные 17мкм 65х105см 1/40</t>
  </si>
  <si>
    <t xml:space="preserve">✓ ВЫБРАНО: Полотенце бумажное листовое 2-сл 210х230 мм 200 лист/пачке ПРЕМИУМ V-сложение (ZZ) БЕЛОЕ ЦЕЛЛЮЛОЗА "SoffiPRO" 1/20</t>
  </si>
  <si>
    <t xml:space="preserve">Полотенце бумажное листовое 2-сл 230х230 мм 200 лист/пачке PREMIUM V-сложение (ZZ) БЕЛОЕ "FOCUS" 1/15</t>
  </si>
  <si>
    <t xml:space="preserve">Полотенца листовые Z SoffiPro 2 сл. 21*22 200л белые 1/20</t>
  </si>
  <si>
    <t xml:space="preserve">Полотенца листовые V Focus Premium 2 сл. 23х23 200л белые 1/15</t>
  </si>
  <si>
    <t xml:space="preserve">Полотенца бумажные MERIDA КОМФОРТ 2сл. 200м 6рул. белый 1/1</t>
  </si>
  <si>
    <t xml:space="preserve">Полотенца бумажные MERIDA КОМФОРТ 2сл. 400м 2рул. белый 1/1</t>
  </si>
  <si>
    <t xml:space="preserve">Полотенца листовые V Focus Premium 2 сл. 23х20,5 200л белые 1/15</t>
  </si>
  <si>
    <t xml:space="preserve">Полотенца листовые W PROtissue 2 сл. 320х215 150л белые 1/21</t>
  </si>
  <si>
    <t xml:space="preserve">✓ ВЫБРАНО: Перчатки латексные синие, прочные 50 шт. "High Risk" XL 1/10 Benovy /ЧЗ</t>
  </si>
  <si>
    <t xml:space="preserve">Перчатки хозяйственные 1 пара BI-COLOR XL рельефная поверхность ЖЕЛТО-СИНИЙ ЛАТЕКС "Libry" 1/12/144</t>
  </si>
  <si>
    <t xml:space="preserve">✓ ВЫБРАНО: VORTEX COMFORT SOFT CleanBox Professional Средство для мытья пола нейтральное низкопенное 5л  1/3 ЧЗ</t>
  </si>
  <si>
    <t xml:space="preserve">Средство для мытья пола 5л универсальное МЕГАЮТ канистра "АМС" 1/1</t>
  </si>
  <si>
    <t xml:space="preserve">VORTEX COMFORT CleanBox Professional Средство для мытья пола нейтральное 5л  1/3 ЧЗ</t>
  </si>
  <si>
    <t xml:space="preserve">VORTEX COMFORT EXTRA CleanBox Professional Средство для мытья пола щелочное 5л  1/3 ЧЗ</t>
  </si>
  <si>
    <t xml:space="preserve">✓ ВЫБРАНО: МОП 40 см хлопок для металлической рамки</t>
  </si>
  <si>
    <t xml:space="preserve">Насадка МОП для швабры х/б 200г "Мега" цвет ассорти 1/18 York</t>
  </si>
  <si>
    <t xml:space="preserve">Насадка МОП для швабры х/б 210г "Премиум 2" Люкс 1/80</t>
  </si>
  <si>
    <t xml:space="preserve">Щетка для уборки пыли 60 см гибкая с насадкой из микрофибры 1/50</t>
  </si>
  <si>
    <t xml:space="preserve">Насадка микрофибра с бахрамой для удаления пыли</t>
  </si>
  <si>
    <t xml:space="preserve">Насадка МОП для швабры 200г ленточная "Bianco" Мега цвет ассорти 1/40 York</t>
  </si>
  <si>
    <t xml:space="preserve">Насадка д/ручн. уборки д/АКВАМАТ 1/1</t>
  </si>
  <si>
    <t xml:space="preserve">Насадка МОП для швабры х/б 250г   1/25  РОСМОП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</si>
</sst>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₽&quot;;\(#,##0.00&quot; ₽)&quot;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7CE"/>
        <bgColor rgb="FFCCCCFF"/>
      </patternFill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C6" s="4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2" t="s">
        <v>7</v>
      </c>
      <c r="B9" s="6" t="n">
        <v>52000</v>
      </c>
    </row>
    <row r="10" customFormat="false" ht="15" hidden="false" customHeight="false" outlineLevel="0" collapsed="false">
      <c r="A10" s="2" t="s">
        <v>8</v>
      </c>
      <c r="B10" s="7" t="n">
        <v>4</v>
      </c>
    </row>
    <row r="11" customFormat="false" ht="15" hidden="false" customHeight="false" outlineLevel="0" collapsed="false">
      <c r="A11" s="2" t="s">
        <v>9</v>
      </c>
      <c r="B11" s="7" t="n">
        <v>5</v>
      </c>
    </row>
    <row r="12" customFormat="false" ht="15" hidden="false" customHeight="false" outlineLevel="0" collapsed="false">
      <c r="A12" s="2" t="s">
        <v>10</v>
      </c>
      <c r="B12" s="8" t="n">
        <v>5</v>
      </c>
    </row>
    <row r="13" customFormat="false" ht="15" hidden="false" customHeight="false" outlineLevel="0" collapsed="false">
      <c r="A13" s="2" t="s">
        <v>11</v>
      </c>
      <c r="B13" s="8" t="n">
        <v>12</v>
      </c>
    </row>
    <row r="15" customFormat="false" ht="15" hidden="false" customHeight="false" outlineLevel="0" collapsed="false">
      <c r="A15" s="5" t="s">
        <v>12</v>
      </c>
      <c r="B15" s="9" t="n">
        <f aca="false">B9*B12*B13</f>
        <v>3120000</v>
      </c>
    </row>
    <row r="17" customFormat="false" ht="15" hidden="false" customHeight="false" outlineLevel="0" collapsed="false">
      <c r="A17" s="5" t="s">
        <v>13</v>
      </c>
    </row>
    <row r="18" customFormat="false" ht="39.55" hidden="false" customHeight="false" outlineLevel="0" collapsed="false">
      <c r="A18" s="10" t="s">
        <v>14</v>
      </c>
      <c r="B18" s="10" t="s">
        <v>15</v>
      </c>
      <c r="C18" s="10" t="s">
        <v>16</v>
      </c>
      <c r="D18" s="10" t="s">
        <v>17</v>
      </c>
      <c r="E18" s="10" t="s">
        <v>18</v>
      </c>
      <c r="F18" s="10" t="s">
        <v>19</v>
      </c>
      <c r="G18" s="10" t="s">
        <v>20</v>
      </c>
      <c r="H18" s="10" t="s">
        <v>21</v>
      </c>
    </row>
    <row r="19" customFormat="false" ht="15" hidden="false" customHeight="false" outlineLevel="0" collapsed="false">
      <c r="A19" s="7" t="s">
        <v>22</v>
      </c>
      <c r="B19" s="7" t="n">
        <v>500</v>
      </c>
      <c r="C19" s="7" t="s">
        <v>23</v>
      </c>
      <c r="D19" s="7" t="s">
        <v>24</v>
      </c>
      <c r="E19" s="11" t="n">
        <v>177.72</v>
      </c>
      <c r="F19" s="11" t="n">
        <f aca="false">B19*E19</f>
        <v>88860</v>
      </c>
      <c r="G19" s="7" t="n">
        <v>0.89</v>
      </c>
      <c r="H19" s="7" t="s">
        <v>25</v>
      </c>
    </row>
    <row r="20" customFormat="false" ht="15" hidden="false" customHeight="false" outlineLevel="0" collapsed="false">
      <c r="A20" s="7" t="s">
        <v>26</v>
      </c>
      <c r="B20" s="7" t="n">
        <v>20</v>
      </c>
      <c r="C20" s="7" t="s">
        <v>27</v>
      </c>
      <c r="D20" s="7" t="s">
        <v>28</v>
      </c>
      <c r="E20" s="11" t="n">
        <v>385.7</v>
      </c>
      <c r="F20" s="11" t="n">
        <f aca="false">B20*E20</f>
        <v>7714</v>
      </c>
      <c r="G20" s="7" t="n">
        <v>0.89</v>
      </c>
      <c r="H20" s="7" t="s">
        <v>29</v>
      </c>
    </row>
    <row r="21" customFormat="false" ht="15" hidden="false" customHeight="false" outlineLevel="0" collapsed="false">
      <c r="A21" s="12" t="s">
        <v>30</v>
      </c>
      <c r="B21" s="12" t="n">
        <v>100</v>
      </c>
      <c r="C21" s="12" t="s">
        <v>31</v>
      </c>
      <c r="D21" s="12" t="s">
        <v>24</v>
      </c>
      <c r="E21" s="13" t="n">
        <v>132.36</v>
      </c>
      <c r="F21" s="13" t="n">
        <f aca="false">B21*E21</f>
        <v>13236</v>
      </c>
      <c r="G21" s="12" t="n">
        <v>0.64</v>
      </c>
      <c r="H21" s="12" t="s">
        <v>32</v>
      </c>
    </row>
    <row r="22" customFormat="false" ht="15" hidden="false" customHeight="false" outlineLevel="0" collapsed="false">
      <c r="A22" s="12" t="s">
        <v>33</v>
      </c>
      <c r="B22" s="12" t="n">
        <v>300</v>
      </c>
      <c r="C22" s="12" t="s">
        <v>34</v>
      </c>
      <c r="D22" s="12" t="s">
        <v>28</v>
      </c>
      <c r="E22" s="13" t="n">
        <v>81.06</v>
      </c>
      <c r="F22" s="13" t="n">
        <f aca="false">B22*E22</f>
        <v>24318</v>
      </c>
      <c r="G22" s="12" t="n">
        <v>0.91</v>
      </c>
      <c r="H22" s="12" t="s">
        <v>35</v>
      </c>
    </row>
    <row r="23" customFormat="false" ht="15" hidden="false" customHeight="false" outlineLevel="0" collapsed="false">
      <c r="A23" s="7" t="s">
        <v>36</v>
      </c>
      <c r="B23" s="7" t="n">
        <v>50</v>
      </c>
      <c r="C23" s="7" t="s">
        <v>37</v>
      </c>
      <c r="D23" s="7" t="s">
        <v>24</v>
      </c>
      <c r="E23" s="11" t="n">
        <v>587.68</v>
      </c>
      <c r="F23" s="11" t="n">
        <f aca="false">B23*E23</f>
        <v>29384</v>
      </c>
      <c r="G23" s="7" t="n">
        <v>0.9</v>
      </c>
      <c r="H23" s="7" t="s">
        <v>38</v>
      </c>
    </row>
    <row r="24" customFormat="false" ht="15" hidden="false" customHeight="false" outlineLevel="0" collapsed="false">
      <c r="A24" s="7" t="s">
        <v>39</v>
      </c>
      <c r="B24" s="7" t="n">
        <v>10</v>
      </c>
      <c r="C24" s="7" t="s">
        <v>40</v>
      </c>
      <c r="D24" s="7" t="s">
        <v>24</v>
      </c>
      <c r="E24" s="11" t="n">
        <v>475</v>
      </c>
      <c r="F24" s="11" t="n">
        <f aca="false">B24*E24</f>
        <v>4750</v>
      </c>
      <c r="G24" s="7" t="n">
        <v>0.89</v>
      </c>
      <c r="H24" s="7" t="s">
        <v>41</v>
      </c>
    </row>
    <row r="25" customFormat="false" ht="15" hidden="false" customHeight="false" outlineLevel="0" collapsed="false">
      <c r="A25" s="12" t="s">
        <v>42</v>
      </c>
      <c r="B25" s="12" t="n">
        <v>15</v>
      </c>
      <c r="C25" s="12" t="s">
        <v>43</v>
      </c>
      <c r="D25" s="12" t="s">
        <v>24</v>
      </c>
      <c r="E25" s="13" t="n">
        <v>138.78</v>
      </c>
      <c r="F25" s="13" t="n">
        <f aca="false">B25*E25</f>
        <v>2081.7</v>
      </c>
      <c r="G25" s="12" t="n">
        <v>0.63</v>
      </c>
      <c r="H25" s="12" t="s">
        <v>35</v>
      </c>
    </row>
    <row r="27" customFormat="false" ht="15" hidden="false" customHeight="false" outlineLevel="0" collapsed="false">
      <c r="A27" s="5" t="s">
        <v>44</v>
      </c>
      <c r="F27" s="9" t="n">
        <f aca="false">SUM(F19:F25)</f>
        <v>170343.7</v>
      </c>
    </row>
    <row r="29" customFormat="false" ht="15" hidden="false" customHeight="false" outlineLevel="0" collapsed="false">
      <c r="A29" s="5" t="s">
        <v>45</v>
      </c>
    </row>
    <row r="30" customFormat="false" ht="15" hidden="false" customHeight="false" outlineLevel="0" collapsed="false">
      <c r="A30" s="0" t="s">
        <v>46</v>
      </c>
      <c r="B30" s="14" t="n">
        <v>0.2</v>
      </c>
    </row>
    <row r="32" customFormat="false" ht="15" hidden="false" customHeight="false" outlineLevel="0" collapsed="false">
      <c r="A32" s="5" t="s">
        <v>47</v>
      </c>
      <c r="B32" s="15" t="n">
        <f aca="false">B15+F27</f>
        <v>3290343.7</v>
      </c>
    </row>
    <row r="33" customFormat="false" ht="16.15" hidden="false" customHeight="false" outlineLevel="0" collapsed="false">
      <c r="A33" s="16" t="s">
        <v>48</v>
      </c>
      <c r="B33" s="17" t="n">
        <f aca="false">B32*(1+B30)</f>
        <v>3948412.44</v>
      </c>
    </row>
    <row r="35" customFormat="false" ht="15" hidden="false" customHeight="false" outlineLevel="0" collapsed="false">
      <c r="A35" s="18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0" t="s">
        <v>14</v>
      </c>
      <c r="B1" s="10" t="s">
        <v>50</v>
      </c>
      <c r="C1" s="10" t="s">
        <v>17</v>
      </c>
      <c r="D1" s="10" t="s">
        <v>51</v>
      </c>
    </row>
    <row r="2" customFormat="false" ht="15" hidden="false" customHeight="false" outlineLevel="0" collapsed="false">
      <c r="A2" s="19" t="s">
        <v>22</v>
      </c>
    </row>
    <row r="3" customFormat="false" ht="15" hidden="false" customHeight="false" outlineLevel="0" collapsed="false">
      <c r="A3" s="7"/>
      <c r="B3" s="7" t="s">
        <v>52</v>
      </c>
      <c r="C3" s="7" t="s">
        <v>24</v>
      </c>
      <c r="D3" s="11" t="n">
        <v>177.72</v>
      </c>
    </row>
    <row r="4" customFormat="false" ht="15" hidden="false" customHeight="false" outlineLevel="0" collapsed="false">
      <c r="A4" s="7"/>
      <c r="B4" s="7" t="s">
        <v>53</v>
      </c>
      <c r="C4" s="7" t="s">
        <v>24</v>
      </c>
      <c r="D4" s="11" t="n">
        <v>98.32</v>
      </c>
    </row>
    <row r="5" customFormat="false" ht="15" hidden="false" customHeight="false" outlineLevel="0" collapsed="false">
      <c r="A5" s="7"/>
      <c r="B5" s="7" t="s">
        <v>54</v>
      </c>
      <c r="C5" s="7" t="s">
        <v>24</v>
      </c>
      <c r="D5" s="11" t="n">
        <v>67.1</v>
      </c>
    </row>
    <row r="6" customFormat="false" ht="15" hidden="false" customHeight="false" outlineLevel="0" collapsed="false">
      <c r="A6" s="7"/>
      <c r="B6" s="7" t="s">
        <v>55</v>
      </c>
      <c r="C6" s="7" t="s">
        <v>24</v>
      </c>
      <c r="D6" s="11" t="n">
        <v>45</v>
      </c>
    </row>
    <row r="7" customFormat="false" ht="15" hidden="false" customHeight="false" outlineLevel="0" collapsed="false">
      <c r="A7" s="7"/>
      <c r="B7" s="7" t="s">
        <v>56</v>
      </c>
      <c r="C7" s="7" t="s">
        <v>24</v>
      </c>
      <c r="D7" s="11" t="n">
        <v>55.24</v>
      </c>
    </row>
    <row r="8" customFormat="false" ht="15" hidden="false" customHeight="false" outlineLevel="0" collapsed="false">
      <c r="A8" s="7"/>
      <c r="B8" s="7" t="s">
        <v>57</v>
      </c>
      <c r="C8" s="7" t="s">
        <v>24</v>
      </c>
      <c r="D8" s="11" t="n">
        <v>223.54</v>
      </c>
    </row>
    <row r="9" customFormat="false" ht="15" hidden="false" customHeight="false" outlineLevel="0" collapsed="false">
      <c r="A9" s="7"/>
      <c r="B9" s="7" t="s">
        <v>58</v>
      </c>
      <c r="C9" s="7" t="s">
        <v>24</v>
      </c>
      <c r="D9" s="11" t="n">
        <v>186.36</v>
      </c>
    </row>
    <row r="10" customFormat="false" ht="15" hidden="false" customHeight="false" outlineLevel="0" collapsed="false">
      <c r="A10" s="7"/>
      <c r="B10" s="7" t="s">
        <v>59</v>
      </c>
      <c r="C10" s="7" t="s">
        <v>24</v>
      </c>
      <c r="D10" s="11" t="n">
        <v>79.52</v>
      </c>
    </row>
    <row r="12" customFormat="false" ht="15" hidden="false" customHeight="false" outlineLevel="0" collapsed="false">
      <c r="A12" s="19" t="s">
        <v>30</v>
      </c>
    </row>
    <row r="13" customFormat="false" ht="15" hidden="false" customHeight="false" outlineLevel="0" collapsed="false">
      <c r="A13" s="7"/>
      <c r="B13" s="7" t="s">
        <v>60</v>
      </c>
      <c r="C13" s="7" t="s">
        <v>24</v>
      </c>
      <c r="D13" s="11" t="n">
        <v>132.36</v>
      </c>
    </row>
    <row r="14" customFormat="false" ht="15" hidden="false" customHeight="false" outlineLevel="0" collapsed="false">
      <c r="A14" s="7"/>
      <c r="B14" s="7" t="s">
        <v>61</v>
      </c>
      <c r="C14" s="7" t="s">
        <v>24</v>
      </c>
      <c r="D14" s="11" t="n">
        <v>365.63</v>
      </c>
    </row>
    <row r="15" customFormat="false" ht="15" hidden="false" customHeight="false" outlineLevel="0" collapsed="false">
      <c r="A15" s="7"/>
      <c r="B15" s="7" t="s">
        <v>62</v>
      </c>
      <c r="C15" s="7" t="s">
        <v>24</v>
      </c>
      <c r="D15" s="11" t="n">
        <v>384.25</v>
      </c>
    </row>
    <row r="16" customFormat="false" ht="15" hidden="false" customHeight="false" outlineLevel="0" collapsed="false">
      <c r="A16" s="7"/>
      <c r="B16" s="7" t="s">
        <v>63</v>
      </c>
      <c r="C16" s="7" t="s">
        <v>24</v>
      </c>
      <c r="D16" s="11" t="n">
        <v>484.87</v>
      </c>
    </row>
    <row r="17" customFormat="false" ht="15" hidden="false" customHeight="false" outlineLevel="0" collapsed="false">
      <c r="A17" s="7"/>
      <c r="B17" s="7" t="s">
        <v>64</v>
      </c>
      <c r="C17" s="7" t="s">
        <v>24</v>
      </c>
      <c r="D17" s="11" t="n">
        <v>365.63</v>
      </c>
    </row>
    <row r="18" customFormat="false" ht="15" hidden="false" customHeight="false" outlineLevel="0" collapsed="false">
      <c r="A18" s="7"/>
      <c r="B18" s="7" t="s">
        <v>65</v>
      </c>
      <c r="C18" s="7" t="s">
        <v>24</v>
      </c>
      <c r="D18" s="11" t="n">
        <v>365.63</v>
      </c>
    </row>
    <row r="19" customFormat="false" ht="15" hidden="false" customHeight="false" outlineLevel="0" collapsed="false">
      <c r="A19" s="7"/>
      <c r="B19" s="7" t="s">
        <v>66</v>
      </c>
      <c r="C19" s="7" t="s">
        <v>24</v>
      </c>
      <c r="D19" s="11" t="n">
        <v>281.23</v>
      </c>
    </row>
    <row r="20" customFormat="false" ht="15" hidden="false" customHeight="false" outlineLevel="0" collapsed="false">
      <c r="A20" s="7"/>
      <c r="B20" s="7" t="s">
        <v>67</v>
      </c>
      <c r="C20" s="7" t="s">
        <v>24</v>
      </c>
      <c r="D20" s="11" t="n">
        <v>134.7</v>
      </c>
    </row>
    <row r="22" customFormat="false" ht="15" hidden="false" customHeight="false" outlineLevel="0" collapsed="false">
      <c r="A22" s="19" t="s">
        <v>33</v>
      </c>
    </row>
    <row r="23" customFormat="false" ht="15" hidden="false" customHeight="false" outlineLevel="0" collapsed="false">
      <c r="A23" s="7"/>
      <c r="B23" s="7" t="s">
        <v>68</v>
      </c>
      <c r="C23" s="7" t="s">
        <v>28</v>
      </c>
      <c r="D23" s="11" t="n">
        <v>81.06</v>
      </c>
    </row>
    <row r="24" customFormat="false" ht="15" hidden="false" customHeight="false" outlineLevel="0" collapsed="false">
      <c r="A24" s="7"/>
      <c r="B24" s="7" t="s">
        <v>69</v>
      </c>
      <c r="C24" s="7" t="s">
        <v>28</v>
      </c>
      <c r="D24" s="11" t="n">
        <v>87.69</v>
      </c>
    </row>
    <row r="25" customFormat="false" ht="15" hidden="false" customHeight="false" outlineLevel="0" collapsed="false">
      <c r="A25" s="7"/>
      <c r="B25" s="7" t="s">
        <v>70</v>
      </c>
      <c r="C25" s="7" t="s">
        <v>24</v>
      </c>
      <c r="D25" s="11" t="n">
        <v>87.15</v>
      </c>
    </row>
    <row r="26" customFormat="false" ht="15" hidden="false" customHeight="false" outlineLevel="0" collapsed="false">
      <c r="A26" s="7"/>
      <c r="B26" s="7" t="s">
        <v>71</v>
      </c>
      <c r="C26" s="7" t="s">
        <v>24</v>
      </c>
      <c r="D26" s="11" t="n">
        <v>95.7</v>
      </c>
    </row>
    <row r="27" customFormat="false" ht="15" hidden="false" customHeight="false" outlineLevel="0" collapsed="false">
      <c r="A27" s="7"/>
      <c r="B27" s="7" t="s">
        <v>72</v>
      </c>
      <c r="C27" s="7" t="s">
        <v>24</v>
      </c>
      <c r="D27" s="11" t="n">
        <v>3811</v>
      </c>
    </row>
    <row r="28" customFormat="false" ht="15" hidden="false" customHeight="false" outlineLevel="0" collapsed="false">
      <c r="A28" s="7"/>
      <c r="B28" s="7" t="s">
        <v>73</v>
      </c>
      <c r="C28" s="7" t="s">
        <v>24</v>
      </c>
      <c r="D28" s="11" t="n">
        <v>3629.5</v>
      </c>
    </row>
    <row r="29" customFormat="false" ht="15" hidden="false" customHeight="false" outlineLevel="0" collapsed="false">
      <c r="A29" s="7"/>
      <c r="B29" s="7" t="s">
        <v>74</v>
      </c>
      <c r="C29" s="7" t="s">
        <v>24</v>
      </c>
      <c r="D29" s="11" t="n">
        <v>84.77</v>
      </c>
    </row>
    <row r="30" customFormat="false" ht="15" hidden="false" customHeight="false" outlineLevel="0" collapsed="false">
      <c r="A30" s="7"/>
      <c r="B30" s="7" t="s">
        <v>75</v>
      </c>
      <c r="C30" s="7" t="s">
        <v>24</v>
      </c>
      <c r="D30" s="11" t="n">
        <v>103.77</v>
      </c>
    </row>
    <row r="32" customFormat="false" ht="15" hidden="false" customHeight="false" outlineLevel="0" collapsed="false">
      <c r="A32" s="19" t="s">
        <v>36</v>
      </c>
    </row>
    <row r="33" customFormat="false" ht="15" hidden="false" customHeight="false" outlineLevel="0" collapsed="false">
      <c r="A33" s="7"/>
      <c r="B33" s="7" t="s">
        <v>76</v>
      </c>
      <c r="C33" s="7" t="s">
        <v>24</v>
      </c>
      <c r="D33" s="11" t="n">
        <v>587.68</v>
      </c>
    </row>
    <row r="34" customFormat="false" ht="15" hidden="false" customHeight="false" outlineLevel="0" collapsed="false">
      <c r="A34" s="7"/>
      <c r="B34" s="7" t="s">
        <v>77</v>
      </c>
      <c r="C34" s="7" t="s">
        <v>28</v>
      </c>
      <c r="D34" s="11" t="n">
        <v>38.36</v>
      </c>
    </row>
    <row r="36" customFormat="false" ht="15" hidden="false" customHeight="false" outlineLevel="0" collapsed="false">
      <c r="A36" s="19" t="s">
        <v>39</v>
      </c>
    </row>
    <row r="37" customFormat="false" ht="15" hidden="false" customHeight="false" outlineLevel="0" collapsed="false">
      <c r="A37" s="7"/>
      <c r="B37" s="7" t="s">
        <v>78</v>
      </c>
      <c r="C37" s="7" t="s">
        <v>24</v>
      </c>
      <c r="D37" s="11" t="n">
        <v>475</v>
      </c>
    </row>
    <row r="38" customFormat="false" ht="15" hidden="false" customHeight="false" outlineLevel="0" collapsed="false">
      <c r="A38" s="7"/>
      <c r="B38" s="7" t="s">
        <v>79</v>
      </c>
      <c r="C38" s="7" t="s">
        <v>28</v>
      </c>
      <c r="D38" s="11" t="n">
        <v>682.91</v>
      </c>
    </row>
    <row r="39" customFormat="false" ht="15" hidden="false" customHeight="false" outlineLevel="0" collapsed="false">
      <c r="A39" s="7"/>
      <c r="B39" s="7" t="s">
        <v>80</v>
      </c>
      <c r="C39" s="7" t="s">
        <v>24</v>
      </c>
      <c r="D39" s="11" t="n">
        <v>1050</v>
      </c>
    </row>
    <row r="40" customFormat="false" ht="15" hidden="false" customHeight="false" outlineLevel="0" collapsed="false">
      <c r="A40" s="7"/>
      <c r="B40" s="7" t="s">
        <v>81</v>
      </c>
      <c r="C40" s="7" t="s">
        <v>24</v>
      </c>
      <c r="D40" s="11" t="n">
        <v>1109</v>
      </c>
    </row>
    <row r="42" customFormat="false" ht="15" hidden="false" customHeight="false" outlineLevel="0" collapsed="false">
      <c r="A42" s="19" t="s">
        <v>42</v>
      </c>
    </row>
    <row r="43" customFormat="false" ht="15" hidden="false" customHeight="false" outlineLevel="0" collapsed="false">
      <c r="A43" s="7"/>
      <c r="B43" s="7" t="s">
        <v>82</v>
      </c>
      <c r="C43" s="7" t="s">
        <v>24</v>
      </c>
      <c r="D43" s="11" t="n">
        <v>138.78</v>
      </c>
    </row>
    <row r="44" customFormat="false" ht="15" hidden="false" customHeight="false" outlineLevel="0" collapsed="false">
      <c r="A44" s="7"/>
      <c r="B44" s="7" t="s">
        <v>83</v>
      </c>
      <c r="C44" s="7" t="s">
        <v>24</v>
      </c>
      <c r="D44" s="11" t="n">
        <v>231.32</v>
      </c>
    </row>
    <row r="45" customFormat="false" ht="15" hidden="false" customHeight="false" outlineLevel="0" collapsed="false">
      <c r="A45" s="7"/>
      <c r="B45" s="7" t="s">
        <v>84</v>
      </c>
      <c r="C45" s="7" t="s">
        <v>24</v>
      </c>
      <c r="D45" s="11" t="n">
        <v>196.12</v>
      </c>
    </row>
    <row r="46" customFormat="false" ht="15" hidden="false" customHeight="false" outlineLevel="0" collapsed="false">
      <c r="A46" s="7"/>
      <c r="B46" s="7" t="s">
        <v>85</v>
      </c>
      <c r="C46" s="7" t="s">
        <v>24</v>
      </c>
      <c r="D46" s="11" t="n">
        <v>320</v>
      </c>
    </row>
    <row r="47" customFormat="false" ht="15" hidden="false" customHeight="false" outlineLevel="0" collapsed="false">
      <c r="A47" s="7"/>
      <c r="B47" s="7" t="s">
        <v>86</v>
      </c>
      <c r="C47" s="7" t="s">
        <v>24</v>
      </c>
      <c r="D47" s="11" t="n">
        <v>439.53</v>
      </c>
    </row>
    <row r="48" customFormat="false" ht="15" hidden="false" customHeight="false" outlineLevel="0" collapsed="false">
      <c r="A48" s="7"/>
      <c r="B48" s="7" t="s">
        <v>87</v>
      </c>
      <c r="C48" s="7" t="s">
        <v>24</v>
      </c>
      <c r="D48" s="11" t="n">
        <v>243.17</v>
      </c>
    </row>
    <row r="49" customFormat="false" ht="15" hidden="false" customHeight="false" outlineLevel="0" collapsed="false">
      <c r="A49" s="7"/>
      <c r="B49" s="7" t="s">
        <v>88</v>
      </c>
      <c r="C49" s="7" t="s">
        <v>24</v>
      </c>
      <c r="D49" s="11" t="n">
        <v>39959.42</v>
      </c>
    </row>
    <row r="50" customFormat="false" ht="15" hidden="false" customHeight="false" outlineLevel="0" collapsed="false">
      <c r="A50" s="7"/>
      <c r="B50" s="7" t="s">
        <v>89</v>
      </c>
      <c r="C50" s="7" t="s">
        <v>24</v>
      </c>
      <c r="D50" s="11" t="n">
        <v>192.05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2026-09-17T12:01:48Z</dcterms:created>
  <dc:creator>openpyxl</dc:creator>
  <dc:description/>
  <dc:language>en-US</dc:language>
  <cp:lastModifiedBy/>
  <dcterms:modified xsi:type="dcterms:W3CDTF">2026-09-17T12:01:48Z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