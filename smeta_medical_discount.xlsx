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<sst xmlns="http://schemas.openxmlformats.org/spreadsheetml/2006/main" count="156" uniqueCount="102">
  <si>
    <t xml:space="preserve">Смета — Поликлиника №5, уборка помещений, 2027 год</t>
  </si>
  <si>
    <t xml:space="preserve">Дата: 2026-09-21</t>
  </si>
  <si>
    <t xml:space="preserve">Жёлтые ячейки — допущения/нормативы, эксперт может скорректировать</t>
  </si>
  <si>
    <t xml:space="preserve">1. Срок контракта</t>
  </si>
  <si>
    <t xml:space="preserve">Срок оказания услуг, мес</t>
  </si>
  <si>
    <t xml:space="preserve">Площадь объекта, м² (3 корпуса, см. Приложение 3)</t>
  </si>
  <si>
    <t xml:space="preserve">2. Себестоимость</t>
  </si>
  <si>
    <t xml:space="preserve">Твёрдый пол за весь контракт (без НДС)</t>
  </si>
  <si>
    <t xml:space="preserve">СЕБЕСТОИМОСТЬ В МЕСЯЦ</t>
  </si>
  <si>
    <t xml:space="preserve">СЕБЕСТОИМОСТЬ В ГОД</t>
  </si>
  <si>
    <t xml:space="preserve">3. Численность персонала</t>
  </si>
  <si>
    <t xml:space="preserve">Подразумеваемая базовая ЗП ежедневного штата, ₽/год</t>
  </si>
  <si>
    <t xml:space="preserve">Оклад, ₽/мес (ЕМИСС/Росстат)</t>
  </si>
  <si>
    <t xml:space="preserve">ЧИСЛЕННОСТЬ ПЕРСОНАЛА</t>
  </si>
  <si>
    <t xml:space="preserve">человек</t>
  </si>
  <si>
    <t xml:space="preserve">Плюс периодические работы (мытьё окон/стен и т.п., см. раздел 5) — выполняются этим же штатом по мере необходимости.</t>
  </si>
  <si>
    <t xml:space="preserve">4. Расходные материалы</t>
  </si>
  <si>
    <t xml:space="preserve">Наименование материала (по ТЗ)</t>
  </si>
  <si>
    <t xml:space="preserve">Найдено в прайсе</t>
  </si>
  <si>
    <t xml:space="preserve">Поставщик</t>
  </si>
  <si>
    <t xml:space="preserve">Норматив (ред.)</t>
  </si>
  <si>
    <t xml:space="preserve">База</t>
  </si>
  <si>
    <t xml:space="preserve">Кол-во/мес</t>
  </si>
  <si>
    <t xml:space="preserve">Цена, ₽</t>
  </si>
  <si>
    <t xml:space="preserve">Сумма/мес, ₽</t>
  </si>
  <si>
    <t xml:space="preserve">Хозяйственное мыло твердое 72%</t>
  </si>
  <si>
    <t xml:space="preserve">Мыло хозяйственное 72% 150гр. Уни (conf 0.71)</t>
  </si>
  <si>
    <t xml:space="preserve">ТК Сервис</t>
  </si>
  <si>
    <t xml:space="preserve">шт/чел/мес</t>
  </si>
  <si>
    <t xml:space="preserve">Хозяйственное мыло жидкое 72%</t>
  </si>
  <si>
    <t xml:space="preserve">Крем-мыло жидкое 5 л ХЛОПОК "Альм (conf 0.66)</t>
  </si>
  <si>
    <t xml:space="preserve">Альмин Провижн Сервис</t>
  </si>
  <si>
    <t xml:space="preserve">л/100м²/мес</t>
  </si>
  <si>
    <t xml:space="preserve">Пакеты для мусора</t>
  </si>
  <si>
    <t xml:space="preserve">Мешки полипропиленовые зеленые дл (conf 0.69)</t>
  </si>
  <si>
    <t xml:space="preserve">Перчатки резиновые</t>
  </si>
  <si>
    <t xml:space="preserve">Перчатки резиновые  желтые XL 1 п (conf 0.91)</t>
  </si>
  <si>
    <t xml:space="preserve">пар/чел/мес</t>
  </si>
  <si>
    <t xml:space="preserve">Средство для чистки хромированного металла</t>
  </si>
  <si>
    <t xml:space="preserve">Средство для чистки ковров Золушк (conf 0.80)</t>
  </si>
  <si>
    <t xml:space="preserve">Средство для удаления отложений</t>
  </si>
  <si>
    <t xml:space="preserve">НЕ НАЙДЕНО — искать поставщика</t>
  </si>
  <si>
    <t xml:space="preserve">—</t>
  </si>
  <si>
    <t xml:space="preserve">Жидкое мыло для тела и рук</t>
  </si>
  <si>
    <t xml:space="preserve">Жидкое мыло 5л Спелое авокадо Бер (conf 0.76)</t>
  </si>
  <si>
    <t xml:space="preserve">Мыло туалетное (без запаха)</t>
  </si>
  <si>
    <t xml:space="preserve">Мыло туалетное 90 г 1 шт КАЛУЖСКИ (conf 0.68)</t>
  </si>
  <si>
    <t xml:space="preserve">Бумага туалетная с тиснением</t>
  </si>
  <si>
    <t xml:space="preserve">Бумага туалетная 1-сл h90 d160 мм (conf 0.68)</t>
  </si>
  <si>
    <t xml:space="preserve">рул/100м²/мес</t>
  </si>
  <si>
    <t xml:space="preserve">Салфетки бумажные</t>
  </si>
  <si>
    <t xml:space="preserve">Салфетки нетканые 3шт.30х38см 1/4 (conf 0.73)</t>
  </si>
  <si>
    <t xml:space="preserve">уп/100м²/мес</t>
  </si>
  <si>
    <t xml:space="preserve">Жидкое санитарно-гигиеническое средство для унитазов, раковин</t>
  </si>
  <si>
    <t xml:space="preserve">Средство для удаления неприятных запахов</t>
  </si>
  <si>
    <t xml:space="preserve">Чистящий порошок антибактериальный</t>
  </si>
  <si>
    <t xml:space="preserve">Чистящий порошок Пемоксоль 480гр. (conf 0.72)</t>
  </si>
  <si>
    <t xml:space="preserve">кг/100м²/мес</t>
  </si>
  <si>
    <t xml:space="preserve">Средство для дезинфекции</t>
  </si>
  <si>
    <t xml:space="preserve">Очиститель труб и жироуловителей</t>
  </si>
  <si>
    <t xml:space="preserve">Средство для чистки ванн/раковин/унитазов</t>
  </si>
  <si>
    <t xml:space="preserve">Средство для чистки утюга УТЮЖОК  (conf 0.73)</t>
  </si>
  <si>
    <t xml:space="preserve">Чистящее средство для стеклянных поверхностей</t>
  </si>
  <si>
    <t xml:space="preserve">EFFECT Super 500 мл Средство чист (conf 0.76)</t>
  </si>
  <si>
    <t xml:space="preserve">Моющее средство для офисной мебели</t>
  </si>
  <si>
    <t xml:space="preserve">Средство для удаления жевательной резинки</t>
  </si>
  <si>
    <t xml:space="preserve">AVUAR S-06 5л средство для удален (conf 0.69)</t>
  </si>
  <si>
    <t xml:space="preserve">Моющее средство для полов, не требующее смывания</t>
  </si>
  <si>
    <t xml:space="preserve">АиС D202 Моющее средство для поло (conf 0.77)</t>
  </si>
  <si>
    <t xml:space="preserve">Нейтральное моющее средство для керамических полов</t>
  </si>
  <si>
    <t xml:space="preserve">Grass Arena 1 л моющее средство д (conf 0.70)</t>
  </si>
  <si>
    <t xml:space="preserve">Чистящее средство для оргтехники</t>
  </si>
  <si>
    <t xml:space="preserve">Effect ALFA 106  5л чистящее сред (conf 0.71)</t>
  </si>
  <si>
    <t xml:space="preserve">Средство для очистки тканевых поверхностей</t>
  </si>
  <si>
    <t xml:space="preserve">Порошковый шампунь для ковролина</t>
  </si>
  <si>
    <t xml:space="preserve">Отбеливающее средство</t>
  </si>
  <si>
    <t xml:space="preserve">АиС L103 Моющее отбеливающее сред (conf 0.79)</t>
  </si>
  <si>
    <t xml:space="preserve">Бумажные полотенца</t>
  </si>
  <si>
    <t xml:space="preserve">Полотенца бумажные  2сл."FAMILIA  (conf 0.61)</t>
  </si>
  <si>
    <t xml:space="preserve">Тряпки для мытья полов, моющие насадки</t>
  </si>
  <si>
    <t xml:space="preserve">МОП 40 см хлопок для металлическо (conf 0.63)</t>
  </si>
  <si>
    <t xml:space="preserve">Щётки, совки, скребки, вёдра и т.п.</t>
  </si>
  <si>
    <t xml:space="preserve">Щетка для посуды с длинной ручкой (conf 0.65)</t>
  </si>
  <si>
    <t xml:space="preserve">ИТОГО материалы в месяц</t>
  </si>
  <si>
    <t xml:space="preserve">ИТОГО материалы в год</t>
  </si>
  <si>
    <t xml:space="preserve">Сопоставление с прайсами — автоматически, всегда (20/28 найдено в Альмин/ТК Сервис). Количество — ФОРМУЛА: норматив (колонка 'Норматив', жёлтая) × база (площадь/100 или численность) — меняете норматив, количество и сумма пересчитываются сами. Нормативы ориентировочные — нет утверждённого стандарта под медицинские категории, порядок величин взят по аналогии с consumable_norms.json для обычных помещений.</t>
  </si>
  <si>
    <t xml:space="preserve">5. Периодические операции (официальные расценки СН-2012)</t>
  </si>
  <si>
    <t xml:space="preserve">ЗП (база, из расценок × реальные площади/количества × допущенная частота)</t>
  </si>
  <si>
    <t xml:space="preserve">Материалы (из расценок)</t>
  </si>
  <si>
    <t xml:space="preserve">НР (70%) + СП (10%) от ЗП — конвенция расценок</t>
  </si>
  <si>
    <t xml:space="preserve">Итого периодическая часть</t>
  </si>
  <si>
    <t xml:space="preserve">6. НМЦК и сценарии скидки</t>
  </si>
  <si>
    <t xml:space="preserve">НМЦК с НДС</t>
  </si>
  <si>
    <t xml:space="preserve">НМЦК без НДС</t>
  </si>
  <si>
    <t xml:space="preserve">Максимальная безопасная скидка от НМЦК</t>
  </si>
  <si>
    <t xml:space="preserve">Скидка от НМЦК</t>
  </si>
  <si>
    <t xml:space="preserve">Цена с НДС</t>
  </si>
  <si>
    <t xml:space="preserve">Цена без НДС</t>
  </si>
  <si>
    <t xml:space="preserve">Твёрдый пол</t>
  </si>
  <si>
    <t xml:space="preserve">Запас/Дефицит</t>
  </si>
  <si>
    <t xml:space="preserve">Статус</t>
  </si>
  <si>
    <t xml:space="preserve">Подразумеваемый норматив площади на человека: 1,232.8 м²/чел — сравните с вашим диапазоном 800-1200 м²/чел. Ежедневный штат — ПОДРАЗУМЕВАЕМЫЙ из НМЦК, не из отдельного расчёта заказчика (в отличие от Лужников).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</si>
</sst>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₽&quot;;\(#,##0.00&quot; ₽)&quot;;\-"/>
    <numFmt numFmtId="166" formatCode="0.0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0066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  <c r="B7" s="6" t="n">
        <v>12</v>
      </c>
    </row>
    <row r="8" customFormat="false" ht="15" hidden="false" customHeight="false" outlineLevel="0" collapsed="false">
      <c r="A8" s="5" t="s">
        <v>5</v>
      </c>
      <c r="B8" s="5" t="n">
        <v>16026.9</v>
      </c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5" t="s">
        <v>7</v>
      </c>
      <c r="B11" s="7" t="n">
        <v>18910184.9592594</v>
      </c>
    </row>
    <row r="12" customFormat="false" ht="16.15" hidden="false" customHeight="false" outlineLevel="0" collapsed="false">
      <c r="A12" s="8" t="s">
        <v>8</v>
      </c>
      <c r="B12" s="9" t="n">
        <f aca="false">B11/B7</f>
        <v>1575848.74660495</v>
      </c>
    </row>
    <row r="13" customFormat="false" ht="16.15" hidden="false" customHeight="false" outlineLevel="0" collapsed="false">
      <c r="A13" s="8" t="s">
        <v>9</v>
      </c>
      <c r="B13" s="9" t="n">
        <f aca="false">B12*12</f>
        <v>18910184.9592594</v>
      </c>
    </row>
    <row r="15" customFormat="false" ht="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5" t="s">
        <v>11</v>
      </c>
      <c r="B16" s="7" t="n">
        <v>12696411.05</v>
      </c>
    </row>
    <row r="17" customFormat="false" ht="15" hidden="false" customHeight="false" outlineLevel="0" collapsed="false">
      <c r="A17" s="5" t="s">
        <v>12</v>
      </c>
      <c r="B17" s="10" t="n">
        <v>79181.1</v>
      </c>
    </row>
    <row r="18" customFormat="false" ht="16.15" hidden="false" customHeight="false" outlineLevel="0" collapsed="false">
      <c r="A18" s="8" t="s">
        <v>13</v>
      </c>
      <c r="B18" s="8" t="n">
        <v>13</v>
      </c>
      <c r="C18" s="11" t="s">
        <v>14</v>
      </c>
    </row>
    <row r="19" customFormat="false" ht="15" hidden="false" customHeight="false" outlineLevel="0" collapsed="false">
      <c r="A19" s="12" t="s">
        <v>15</v>
      </c>
      <c r="B19" s="5"/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13" t="s">
        <v>17</v>
      </c>
      <c r="B22" s="13" t="s">
        <v>18</v>
      </c>
      <c r="C22" s="13" t="s">
        <v>19</v>
      </c>
      <c r="D22" s="13" t="s">
        <v>20</v>
      </c>
      <c r="E22" s="13" t="s">
        <v>21</v>
      </c>
      <c r="F22" s="13" t="s">
        <v>22</v>
      </c>
      <c r="G22" s="13" t="s">
        <v>23</v>
      </c>
      <c r="H22" s="13" t="s">
        <v>24</v>
      </c>
    </row>
    <row r="23" customFormat="false" ht="15" hidden="false" customHeight="false" outlineLevel="0" collapsed="false">
      <c r="A23" s="14" t="s">
        <v>25</v>
      </c>
      <c r="B23" s="15" t="s">
        <v>26</v>
      </c>
      <c r="C23" s="15" t="s">
        <v>27</v>
      </c>
      <c r="D23" s="16" t="n">
        <v>0.5</v>
      </c>
      <c r="E23" s="15" t="s">
        <v>28</v>
      </c>
      <c r="F23" s="17" t="n">
        <f aca="false">D23*B18</f>
        <v>6.5</v>
      </c>
      <c r="G23" s="18" t="n">
        <v>18.3</v>
      </c>
      <c r="H23" s="18" t="n">
        <f aca="false">F23*G23</f>
        <v>118.95</v>
      </c>
    </row>
    <row r="24" customFormat="false" ht="15" hidden="false" customHeight="false" outlineLevel="0" collapsed="false">
      <c r="A24" s="14" t="s">
        <v>29</v>
      </c>
      <c r="B24" s="15" t="s">
        <v>30</v>
      </c>
      <c r="C24" s="15" t="s">
        <v>31</v>
      </c>
      <c r="D24" s="16" t="n">
        <v>0.01</v>
      </c>
      <c r="E24" s="15" t="s">
        <v>32</v>
      </c>
      <c r="F24" s="17" t="n">
        <f aca="false">D24*B8/100</f>
        <v>1.60269</v>
      </c>
      <c r="G24" s="18" t="n">
        <v>385.7</v>
      </c>
      <c r="H24" s="18" t="n">
        <f aca="false">F24*G24</f>
        <v>618.157533</v>
      </c>
    </row>
    <row r="25" customFormat="false" ht="15" hidden="false" customHeight="false" outlineLevel="0" collapsed="false">
      <c r="A25" s="14" t="s">
        <v>33</v>
      </c>
      <c r="B25" s="15" t="s">
        <v>34</v>
      </c>
      <c r="C25" s="15" t="s">
        <v>27</v>
      </c>
      <c r="D25" s="16" t="n">
        <v>20</v>
      </c>
      <c r="E25" s="15" t="s">
        <v>28</v>
      </c>
      <c r="F25" s="17" t="n">
        <f aca="false">D25*B18</f>
        <v>260</v>
      </c>
      <c r="G25" s="18" t="n">
        <v>11.67</v>
      </c>
      <c r="H25" s="18" t="n">
        <f aca="false">F25*G25</f>
        <v>3034.2</v>
      </c>
    </row>
    <row r="26" customFormat="false" ht="15" hidden="false" customHeight="false" outlineLevel="0" collapsed="false">
      <c r="A26" s="5" t="s">
        <v>35</v>
      </c>
      <c r="B26" s="15" t="s">
        <v>36</v>
      </c>
      <c r="C26" s="15" t="s">
        <v>27</v>
      </c>
      <c r="D26" s="16" t="n">
        <v>2</v>
      </c>
      <c r="E26" s="15" t="s">
        <v>37</v>
      </c>
      <c r="F26" s="17" t="n">
        <f aca="false">D26*B18</f>
        <v>26</v>
      </c>
      <c r="G26" s="18" t="n">
        <v>41.68</v>
      </c>
      <c r="H26" s="18" t="n">
        <f aca="false">F26*G26</f>
        <v>1083.68</v>
      </c>
    </row>
    <row r="27" customFormat="false" ht="15" hidden="false" customHeight="false" outlineLevel="0" collapsed="false">
      <c r="A27" s="5" t="s">
        <v>38</v>
      </c>
      <c r="B27" s="15" t="s">
        <v>39</v>
      </c>
      <c r="C27" s="15" t="s">
        <v>27</v>
      </c>
      <c r="D27" s="16" t="n">
        <v>0.02</v>
      </c>
      <c r="E27" s="15" t="s">
        <v>32</v>
      </c>
      <c r="F27" s="17" t="n">
        <f aca="false">D27*B8/100</f>
        <v>3.20538</v>
      </c>
      <c r="G27" s="18" t="n">
        <v>68.7</v>
      </c>
      <c r="H27" s="18" t="n">
        <f aca="false">F27*G27</f>
        <v>220.209606</v>
      </c>
    </row>
    <row r="28" customFormat="false" ht="15" hidden="false" customHeight="false" outlineLevel="0" collapsed="false">
      <c r="A28" s="5" t="s">
        <v>40</v>
      </c>
      <c r="B28" s="15" t="s">
        <v>41</v>
      </c>
      <c r="C28" s="15" t="s">
        <v>42</v>
      </c>
      <c r="D28" s="16" t="n">
        <v>0.01</v>
      </c>
      <c r="E28" s="15" t="s">
        <v>32</v>
      </c>
      <c r="F28" s="17" t="n">
        <f aca="false">D28*B8/100</f>
        <v>1.60269</v>
      </c>
      <c r="G28" s="19" t="n">
        <v>0</v>
      </c>
      <c r="H28" s="18" t="n">
        <f aca="false">F28*G28</f>
        <v>0</v>
      </c>
    </row>
    <row r="29" customFormat="false" ht="15" hidden="false" customHeight="false" outlineLevel="0" collapsed="false">
      <c r="A29" s="5" t="s">
        <v>43</v>
      </c>
      <c r="B29" s="15" t="s">
        <v>44</v>
      </c>
      <c r="C29" s="15" t="s">
        <v>27</v>
      </c>
      <c r="D29" s="16" t="n">
        <v>0.05</v>
      </c>
      <c r="E29" s="15" t="s">
        <v>32</v>
      </c>
      <c r="F29" s="17" t="n">
        <f aca="false">D29*B8/100</f>
        <v>8.01345</v>
      </c>
      <c r="G29" s="18" t="n">
        <v>237</v>
      </c>
      <c r="H29" s="18" t="n">
        <f aca="false">F29*G29</f>
        <v>1899.18765</v>
      </c>
    </row>
    <row r="30" customFormat="false" ht="15" hidden="false" customHeight="false" outlineLevel="0" collapsed="false">
      <c r="A30" s="14" t="s">
        <v>45</v>
      </c>
      <c r="B30" s="15" t="s">
        <v>46</v>
      </c>
      <c r="C30" s="15" t="s">
        <v>31</v>
      </c>
      <c r="D30" s="16" t="n">
        <v>0.5</v>
      </c>
      <c r="E30" s="15" t="s">
        <v>28</v>
      </c>
      <c r="F30" s="17" t="n">
        <f aca="false">D30*B18</f>
        <v>6.5</v>
      </c>
      <c r="G30" s="18" t="n">
        <v>13.15</v>
      </c>
      <c r="H30" s="18" t="n">
        <f aca="false">F30*G30</f>
        <v>85.475</v>
      </c>
    </row>
    <row r="31" customFormat="false" ht="15" hidden="false" customHeight="false" outlineLevel="0" collapsed="false">
      <c r="A31" s="14" t="s">
        <v>47</v>
      </c>
      <c r="B31" s="15" t="s">
        <v>48</v>
      </c>
      <c r="C31" s="15" t="s">
        <v>31</v>
      </c>
      <c r="D31" s="16" t="n">
        <v>2</v>
      </c>
      <c r="E31" s="15" t="s">
        <v>49</v>
      </c>
      <c r="F31" s="17" t="n">
        <f aca="false">D31*B8/100</f>
        <v>320.538</v>
      </c>
      <c r="G31" s="18" t="n">
        <v>51.17</v>
      </c>
      <c r="H31" s="18" t="n">
        <f aca="false">F31*G31</f>
        <v>16401.92946</v>
      </c>
    </row>
    <row r="32" customFormat="false" ht="15" hidden="false" customHeight="false" outlineLevel="0" collapsed="false">
      <c r="A32" s="14" t="s">
        <v>50</v>
      </c>
      <c r="B32" s="15" t="s">
        <v>51</v>
      </c>
      <c r="C32" s="15" t="s">
        <v>27</v>
      </c>
      <c r="D32" s="16" t="n">
        <v>1</v>
      </c>
      <c r="E32" s="15" t="s">
        <v>52</v>
      </c>
      <c r="F32" s="17" t="n">
        <f aca="false">D32*B8/100</f>
        <v>160.269</v>
      </c>
      <c r="G32" s="18" t="n">
        <v>30.57</v>
      </c>
      <c r="H32" s="18" t="n">
        <f aca="false">F32*G32</f>
        <v>4899.42333</v>
      </c>
    </row>
    <row r="33" customFormat="false" ht="15" hidden="false" customHeight="false" outlineLevel="0" collapsed="false">
      <c r="A33" s="5" t="s">
        <v>53</v>
      </c>
      <c r="B33" s="15" t="s">
        <v>41</v>
      </c>
      <c r="C33" s="15" t="s">
        <v>42</v>
      </c>
      <c r="D33" s="16" t="n">
        <v>0.03</v>
      </c>
      <c r="E33" s="15" t="s">
        <v>32</v>
      </c>
      <c r="F33" s="17" t="n">
        <f aca="false">D33*B8/100</f>
        <v>4.80807</v>
      </c>
      <c r="G33" s="19" t="n">
        <v>0</v>
      </c>
      <c r="H33" s="18" t="n">
        <f aca="false">F33*G33</f>
        <v>0</v>
      </c>
    </row>
    <row r="34" customFormat="false" ht="15" hidden="false" customHeight="false" outlineLevel="0" collapsed="false">
      <c r="A34" s="5" t="s">
        <v>54</v>
      </c>
      <c r="B34" s="15" t="s">
        <v>41</v>
      </c>
      <c r="C34" s="15" t="s">
        <v>42</v>
      </c>
      <c r="D34" s="16" t="n">
        <v>0.01</v>
      </c>
      <c r="E34" s="15" t="s">
        <v>32</v>
      </c>
      <c r="F34" s="17" t="n">
        <f aca="false">D34*B8/100</f>
        <v>1.60269</v>
      </c>
      <c r="G34" s="19" t="n">
        <v>0</v>
      </c>
      <c r="H34" s="18" t="n">
        <f aca="false">F34*G34</f>
        <v>0</v>
      </c>
    </row>
    <row r="35" customFormat="false" ht="15" hidden="false" customHeight="false" outlineLevel="0" collapsed="false">
      <c r="A35" s="14" t="s">
        <v>55</v>
      </c>
      <c r="B35" s="15" t="s">
        <v>56</v>
      </c>
      <c r="C35" s="15" t="s">
        <v>27</v>
      </c>
      <c r="D35" s="16" t="n">
        <v>0.02</v>
      </c>
      <c r="E35" s="15" t="s">
        <v>57</v>
      </c>
      <c r="F35" s="17" t="n">
        <f aca="false">D35*B8/100</f>
        <v>3.20538</v>
      </c>
      <c r="G35" s="18" t="n">
        <v>47.5</v>
      </c>
      <c r="H35" s="18" t="n">
        <f aca="false">F35*G35</f>
        <v>152.25555</v>
      </c>
    </row>
    <row r="36" customFormat="false" ht="15" hidden="false" customHeight="false" outlineLevel="0" collapsed="false">
      <c r="A36" s="5" t="s">
        <v>58</v>
      </c>
      <c r="B36" s="15" t="s">
        <v>41</v>
      </c>
      <c r="C36" s="15" t="s">
        <v>42</v>
      </c>
      <c r="D36" s="16" t="n">
        <v>0.05</v>
      </c>
      <c r="E36" s="15" t="s">
        <v>32</v>
      </c>
      <c r="F36" s="17" t="n">
        <f aca="false">D36*B8/100</f>
        <v>8.01345</v>
      </c>
      <c r="G36" s="19" t="n">
        <v>0</v>
      </c>
      <c r="H36" s="18" t="n">
        <f aca="false">F36*G36</f>
        <v>0</v>
      </c>
    </row>
    <row r="37" customFormat="false" ht="15" hidden="false" customHeight="false" outlineLevel="0" collapsed="false">
      <c r="A37" s="5" t="s">
        <v>59</v>
      </c>
      <c r="B37" s="15" t="s">
        <v>41</v>
      </c>
      <c r="C37" s="15" t="s">
        <v>42</v>
      </c>
      <c r="D37" s="16" t="n">
        <v>0.005</v>
      </c>
      <c r="E37" s="15" t="s">
        <v>32</v>
      </c>
      <c r="F37" s="17" t="n">
        <f aca="false">D37*B8/100</f>
        <v>0.801345</v>
      </c>
      <c r="G37" s="19" t="n">
        <v>0</v>
      </c>
      <c r="H37" s="18" t="n">
        <f aca="false">F37*G37</f>
        <v>0</v>
      </c>
    </row>
    <row r="38" customFormat="false" ht="15" hidden="false" customHeight="false" outlineLevel="0" collapsed="false">
      <c r="A38" s="14" t="s">
        <v>60</v>
      </c>
      <c r="B38" s="15" t="s">
        <v>61</v>
      </c>
      <c r="C38" s="15" t="s">
        <v>27</v>
      </c>
      <c r="D38" s="16" t="n">
        <v>0.03</v>
      </c>
      <c r="E38" s="15" t="s">
        <v>32</v>
      </c>
      <c r="F38" s="17" t="n">
        <f aca="false">D38*B8/100</f>
        <v>4.80807</v>
      </c>
      <c r="G38" s="18" t="n">
        <v>23.08</v>
      </c>
      <c r="H38" s="18" t="n">
        <f aca="false">F38*G38</f>
        <v>110.9702556</v>
      </c>
    </row>
    <row r="39" customFormat="false" ht="15" hidden="false" customHeight="false" outlineLevel="0" collapsed="false">
      <c r="A39" s="5" t="s">
        <v>62</v>
      </c>
      <c r="B39" s="15" t="s">
        <v>63</v>
      </c>
      <c r="C39" s="15" t="s">
        <v>27</v>
      </c>
      <c r="D39" s="16" t="n">
        <v>0.02</v>
      </c>
      <c r="E39" s="15" t="s">
        <v>32</v>
      </c>
      <c r="F39" s="17" t="n">
        <f aca="false">D39*B8/100</f>
        <v>3.20538</v>
      </c>
      <c r="G39" s="18" t="n">
        <v>121.7</v>
      </c>
      <c r="H39" s="18" t="n">
        <f aca="false">F39*G39</f>
        <v>390.094746</v>
      </c>
    </row>
    <row r="40" customFormat="false" ht="15" hidden="false" customHeight="false" outlineLevel="0" collapsed="false">
      <c r="A40" s="5" t="s">
        <v>64</v>
      </c>
      <c r="B40" s="15" t="s">
        <v>41</v>
      </c>
      <c r="C40" s="15" t="s">
        <v>42</v>
      </c>
      <c r="D40" s="16" t="n">
        <v>0.01</v>
      </c>
      <c r="E40" s="15" t="s">
        <v>32</v>
      </c>
      <c r="F40" s="17" t="n">
        <f aca="false">D40*B8/100</f>
        <v>1.60269</v>
      </c>
      <c r="G40" s="19" t="n">
        <v>0</v>
      </c>
      <c r="H40" s="18" t="n">
        <f aca="false">F40*G40</f>
        <v>0</v>
      </c>
    </row>
    <row r="41" customFormat="false" ht="15" hidden="false" customHeight="false" outlineLevel="0" collapsed="false">
      <c r="A41" s="14" t="s">
        <v>65</v>
      </c>
      <c r="B41" s="15" t="s">
        <v>66</v>
      </c>
      <c r="C41" s="15" t="s">
        <v>27</v>
      </c>
      <c r="D41" s="16" t="n">
        <v>0.002</v>
      </c>
      <c r="E41" s="15" t="s">
        <v>32</v>
      </c>
      <c r="F41" s="17" t="n">
        <f aca="false">D41*B8/100</f>
        <v>0.320538</v>
      </c>
      <c r="G41" s="18" t="n">
        <v>4203.52</v>
      </c>
      <c r="H41" s="18" t="n">
        <f aca="false">F41*G41</f>
        <v>1347.38789376</v>
      </c>
    </row>
    <row r="42" customFormat="false" ht="15" hidden="false" customHeight="false" outlineLevel="0" collapsed="false">
      <c r="A42" s="5" t="s">
        <v>67</v>
      </c>
      <c r="B42" s="15" t="s">
        <v>68</v>
      </c>
      <c r="C42" s="15" t="s">
        <v>27</v>
      </c>
      <c r="D42" s="16" t="n">
        <v>0.05</v>
      </c>
      <c r="E42" s="15" t="s">
        <v>32</v>
      </c>
      <c r="F42" s="17" t="n">
        <f aca="false">D42*B8/100</f>
        <v>8.01345</v>
      </c>
      <c r="G42" s="18" t="n">
        <v>614</v>
      </c>
      <c r="H42" s="18" t="n">
        <f aca="false">F42*G42</f>
        <v>4920.2583</v>
      </c>
    </row>
    <row r="43" customFormat="false" ht="15" hidden="false" customHeight="false" outlineLevel="0" collapsed="false">
      <c r="A43" s="14" t="s">
        <v>69</v>
      </c>
      <c r="B43" s="15" t="s">
        <v>70</v>
      </c>
      <c r="C43" s="15" t="s">
        <v>27</v>
      </c>
      <c r="D43" s="16" t="n">
        <v>0.05</v>
      </c>
      <c r="E43" s="15" t="s">
        <v>32</v>
      </c>
      <c r="F43" s="17" t="n">
        <f aca="false">D43*B8/100</f>
        <v>8.01345</v>
      </c>
      <c r="G43" s="18" t="n">
        <v>132.59</v>
      </c>
      <c r="H43" s="18" t="n">
        <f aca="false">F43*G43</f>
        <v>1062.5033355</v>
      </c>
    </row>
    <row r="44" customFormat="false" ht="15" hidden="false" customHeight="false" outlineLevel="0" collapsed="false">
      <c r="A44" s="14" t="s">
        <v>71</v>
      </c>
      <c r="B44" s="15" t="s">
        <v>72</v>
      </c>
      <c r="C44" s="15" t="s">
        <v>27</v>
      </c>
      <c r="D44" s="16" t="n">
        <v>0.005</v>
      </c>
      <c r="E44" s="15" t="s">
        <v>32</v>
      </c>
      <c r="F44" s="17" t="n">
        <f aca="false">D44*B8/100</f>
        <v>0.801345</v>
      </c>
      <c r="G44" s="18" t="n">
        <v>475.41</v>
      </c>
      <c r="H44" s="18" t="n">
        <f aca="false">F44*G44</f>
        <v>380.96742645</v>
      </c>
    </row>
    <row r="45" customFormat="false" ht="15" hidden="false" customHeight="false" outlineLevel="0" collapsed="false">
      <c r="A45" s="5" t="s">
        <v>73</v>
      </c>
      <c r="B45" s="15" t="s">
        <v>41</v>
      </c>
      <c r="C45" s="15" t="s">
        <v>42</v>
      </c>
      <c r="D45" s="16" t="n">
        <v>0.005</v>
      </c>
      <c r="E45" s="15" t="s">
        <v>32</v>
      </c>
      <c r="F45" s="17" t="n">
        <f aca="false">D45*B8/100</f>
        <v>0.801345</v>
      </c>
      <c r="G45" s="19" t="n">
        <v>0</v>
      </c>
      <c r="H45" s="18" t="n">
        <f aca="false">F45*G45</f>
        <v>0</v>
      </c>
    </row>
    <row r="46" customFormat="false" ht="15" hidden="false" customHeight="false" outlineLevel="0" collapsed="false">
      <c r="A46" s="5" t="s">
        <v>74</v>
      </c>
      <c r="B46" s="15" t="s">
        <v>41</v>
      </c>
      <c r="C46" s="15" t="s">
        <v>42</v>
      </c>
      <c r="D46" s="16" t="n">
        <v>0.005</v>
      </c>
      <c r="E46" s="15" t="s">
        <v>57</v>
      </c>
      <c r="F46" s="17" t="n">
        <f aca="false">D46*B8/100</f>
        <v>0.801345</v>
      </c>
      <c r="G46" s="19" t="n">
        <v>0</v>
      </c>
      <c r="H46" s="18" t="n">
        <f aca="false">F46*G46</f>
        <v>0</v>
      </c>
    </row>
    <row r="47" customFormat="false" ht="15" hidden="false" customHeight="false" outlineLevel="0" collapsed="false">
      <c r="A47" s="5" t="s">
        <v>75</v>
      </c>
      <c r="B47" s="15" t="s">
        <v>76</v>
      </c>
      <c r="C47" s="15" t="s">
        <v>27</v>
      </c>
      <c r="D47" s="16" t="n">
        <v>0.01</v>
      </c>
      <c r="E47" s="15" t="s">
        <v>32</v>
      </c>
      <c r="F47" s="17" t="n">
        <f aca="false">D47*B8/100</f>
        <v>1.60269</v>
      </c>
      <c r="G47" s="18" t="n">
        <v>583.85</v>
      </c>
      <c r="H47" s="18" t="n">
        <f aca="false">F47*G47</f>
        <v>935.7305565</v>
      </c>
    </row>
    <row r="48" customFormat="false" ht="15" hidden="false" customHeight="false" outlineLevel="0" collapsed="false">
      <c r="A48" s="14" t="s">
        <v>77</v>
      </c>
      <c r="B48" s="15" t="s">
        <v>78</v>
      </c>
      <c r="C48" s="15" t="s">
        <v>27</v>
      </c>
      <c r="D48" s="16" t="n">
        <v>2</v>
      </c>
      <c r="E48" s="15" t="s">
        <v>52</v>
      </c>
      <c r="F48" s="17" t="n">
        <f aca="false">D48*B8/100</f>
        <v>320.538</v>
      </c>
      <c r="G48" s="18" t="n">
        <v>70.24</v>
      </c>
      <c r="H48" s="18" t="n">
        <f aca="false">F48*G48</f>
        <v>22514.58912</v>
      </c>
    </row>
    <row r="49" customFormat="false" ht="15" hidden="false" customHeight="false" outlineLevel="0" collapsed="false">
      <c r="A49" s="14" t="s">
        <v>79</v>
      </c>
      <c r="B49" s="15" t="s">
        <v>80</v>
      </c>
      <c r="C49" s="15" t="s">
        <v>27</v>
      </c>
      <c r="D49" s="16" t="n">
        <v>1</v>
      </c>
      <c r="E49" s="15" t="s">
        <v>28</v>
      </c>
      <c r="F49" s="17" t="n">
        <f aca="false">D49*B18</f>
        <v>13</v>
      </c>
      <c r="G49" s="18" t="n">
        <v>138.78</v>
      </c>
      <c r="H49" s="18" t="n">
        <f aca="false">F49*G49</f>
        <v>1804.14</v>
      </c>
    </row>
    <row r="50" customFormat="false" ht="15" hidden="false" customHeight="false" outlineLevel="0" collapsed="false">
      <c r="A50" s="14" t="s">
        <v>81</v>
      </c>
      <c r="B50" s="15" t="s">
        <v>82</v>
      </c>
      <c r="C50" s="15" t="s">
        <v>27</v>
      </c>
      <c r="D50" s="16" t="n">
        <v>0.2</v>
      </c>
      <c r="E50" s="15" t="s">
        <v>28</v>
      </c>
      <c r="F50" s="17" t="n">
        <f aca="false">D50*B18</f>
        <v>2.6</v>
      </c>
      <c r="G50" s="18" t="n">
        <v>110.89</v>
      </c>
      <c r="H50" s="18" t="n">
        <f aca="false">F50*G50</f>
        <v>288.314</v>
      </c>
    </row>
    <row r="51" customFormat="false" ht="15" hidden="false" customHeight="false" outlineLevel="0" collapsed="false">
      <c r="A51" s="20" t="s">
        <v>83</v>
      </c>
      <c r="H51" s="21" t="n">
        <f aca="false">SUM(H23:H50)</f>
        <v>62268.42376281</v>
      </c>
    </row>
    <row r="52" customFormat="false" ht="15" hidden="false" customHeight="false" outlineLevel="0" collapsed="false">
      <c r="A52" s="0" t="s">
        <v>84</v>
      </c>
      <c r="H52" s="22" t="n">
        <f aca="false">H51*12</f>
        <v>747221.08515372</v>
      </c>
    </row>
    <row r="53" customFormat="false" ht="15" hidden="false" customHeight="false" outlineLevel="0" collapsed="false">
      <c r="A53" s="23" t="s">
        <v>85</v>
      </c>
      <c r="B53" s="23"/>
      <c r="C53" s="23"/>
      <c r="D53" s="23"/>
      <c r="E53" s="23"/>
      <c r="F53" s="23"/>
      <c r="G53" s="23"/>
      <c r="H53" s="23"/>
    </row>
    <row r="55" customFormat="false" ht="15" hidden="false" customHeight="false" outlineLevel="0" collapsed="false">
      <c r="A55" s="4" t="s">
        <v>86</v>
      </c>
    </row>
    <row r="56" customFormat="false" ht="15" hidden="false" customHeight="false" outlineLevel="0" collapsed="false">
      <c r="A56" s="5" t="s">
        <v>87</v>
      </c>
      <c r="B56" s="7" t="n">
        <v>2107755.1014</v>
      </c>
    </row>
    <row r="57" customFormat="false" ht="15" hidden="false" customHeight="false" outlineLevel="0" collapsed="false">
      <c r="A57" s="5" t="s">
        <v>88</v>
      </c>
      <c r="B57" s="7" t="n">
        <v>271702.66868</v>
      </c>
    </row>
    <row r="58" customFormat="false" ht="15" hidden="false" customHeight="false" outlineLevel="0" collapsed="false">
      <c r="A58" s="5" t="s">
        <v>89</v>
      </c>
      <c r="B58" s="7" t="n">
        <f aca="false">B56*0.8</f>
        <v>1686204.08112</v>
      </c>
    </row>
    <row r="59" customFormat="false" ht="15" hidden="false" customHeight="false" outlineLevel="0" collapsed="false">
      <c r="A59" s="24" t="s">
        <v>90</v>
      </c>
      <c r="B59" s="25" t="n">
        <f aca="false">B56+B57+B58</f>
        <v>4065661.8512</v>
      </c>
    </row>
    <row r="61" customFormat="false" ht="15" hidden="false" customHeight="false" outlineLevel="0" collapsed="false">
      <c r="A61" s="4" t="s">
        <v>91</v>
      </c>
    </row>
    <row r="62" customFormat="false" ht="15" hidden="false" customHeight="false" outlineLevel="0" collapsed="false">
      <c r="A62" s="5" t="s">
        <v>92</v>
      </c>
      <c r="B62" s="7" t="n">
        <v>29000000</v>
      </c>
    </row>
    <row r="63" customFormat="false" ht="15" hidden="false" customHeight="false" outlineLevel="0" collapsed="false">
      <c r="A63" s="5" t="s">
        <v>93</v>
      </c>
      <c r="B63" s="7" t="n">
        <v>23770491.8032787</v>
      </c>
    </row>
    <row r="64" customFormat="false" ht="15" hidden="false" customHeight="false" outlineLevel="0" collapsed="false">
      <c r="A64" s="0" t="s">
        <v>94</v>
      </c>
      <c r="B64" s="26" t="n">
        <f aca="false">1-B11/B63</f>
        <v>0.204468081024259</v>
      </c>
    </row>
    <row r="66" customFormat="false" ht="15" hidden="false" customHeight="false" outlineLevel="0" collapsed="false">
      <c r="A66" s="13" t="s">
        <v>95</v>
      </c>
      <c r="B66" s="13" t="s">
        <v>96</v>
      </c>
      <c r="C66" s="13" t="s">
        <v>97</v>
      </c>
      <c r="D66" s="13" t="s">
        <v>98</v>
      </c>
      <c r="E66" s="13" t="s">
        <v>99</v>
      </c>
      <c r="F66" s="13" t="s">
        <v>100</v>
      </c>
    </row>
    <row r="67" customFormat="false" ht="15" hidden="false" customHeight="false" outlineLevel="0" collapsed="false">
      <c r="A67" s="27" t="n">
        <v>0</v>
      </c>
      <c r="B67" s="28" t="n">
        <v>29000000</v>
      </c>
      <c r="C67" s="28" t="n">
        <f aca="false">B67/1.22</f>
        <v>23770491.8032787</v>
      </c>
      <c r="D67" s="28" t="n">
        <f aca="false">$B$11</f>
        <v>18910184.9592594</v>
      </c>
      <c r="E67" s="28" t="n">
        <f aca="false">C67-D67</f>
        <v>4860306.84401928</v>
      </c>
      <c r="F67" s="29" t="str">
        <f aca="false">IF(E67&gt;=0,"безопасно","ДЕФИЦИТ")</f>
        <v>безопасно</v>
      </c>
    </row>
    <row r="68" customFormat="false" ht="15" hidden="false" customHeight="false" outlineLevel="0" collapsed="false">
      <c r="A68" s="27" t="n">
        <v>0.05</v>
      </c>
      <c r="B68" s="28" t="n">
        <v>27550000</v>
      </c>
      <c r="C68" s="28" t="n">
        <f aca="false">B68/1.22</f>
        <v>22581967.2131148</v>
      </c>
      <c r="D68" s="28" t="n">
        <f aca="false">$B$11</f>
        <v>18910184.9592594</v>
      </c>
      <c r="E68" s="28" t="n">
        <f aca="false">C68-D68</f>
        <v>3671782.25385534</v>
      </c>
      <c r="F68" s="29" t="str">
        <f aca="false">IF(E68&gt;=0,"безопасно","ДЕФИЦИТ")</f>
        <v>безопасно</v>
      </c>
    </row>
    <row r="69" customFormat="false" ht="15" hidden="false" customHeight="false" outlineLevel="0" collapsed="false">
      <c r="A69" s="27" t="n">
        <v>0.1</v>
      </c>
      <c r="B69" s="28" t="n">
        <v>26100000</v>
      </c>
      <c r="C69" s="28" t="n">
        <f aca="false">B69/1.22</f>
        <v>21393442.6229508</v>
      </c>
      <c r="D69" s="28" t="n">
        <f aca="false">$B$11</f>
        <v>18910184.9592594</v>
      </c>
      <c r="E69" s="28" t="n">
        <f aca="false">C69-D69</f>
        <v>2483257.66369141</v>
      </c>
      <c r="F69" s="29" t="str">
        <f aca="false">IF(E69&gt;=0,"безопасно","ДЕФИЦИТ")</f>
        <v>безопасно</v>
      </c>
    </row>
    <row r="70" customFormat="false" ht="15" hidden="false" customHeight="false" outlineLevel="0" collapsed="false">
      <c r="A70" s="27" t="n">
        <v>0.15</v>
      </c>
      <c r="B70" s="28" t="n">
        <v>24650000</v>
      </c>
      <c r="C70" s="28" t="n">
        <f aca="false">B70/1.22</f>
        <v>20204918.0327869</v>
      </c>
      <c r="D70" s="28" t="n">
        <f aca="false">$B$11</f>
        <v>18910184.9592594</v>
      </c>
      <c r="E70" s="28" t="n">
        <f aca="false">C70-D70</f>
        <v>1294733.07352748</v>
      </c>
      <c r="F70" s="29" t="str">
        <f aca="false">IF(E70&gt;=0,"безопасно","ДЕФИЦИТ")</f>
        <v>безопасно</v>
      </c>
    </row>
    <row r="71" customFormat="false" ht="15" hidden="false" customHeight="false" outlineLevel="0" collapsed="false">
      <c r="A71" s="27" t="n">
        <v>0.204</v>
      </c>
      <c r="B71" s="28" t="n">
        <v>23084000</v>
      </c>
      <c r="C71" s="28" t="n">
        <f aca="false">B71/1.22</f>
        <v>18921311.4754098</v>
      </c>
      <c r="D71" s="28" t="n">
        <f aca="false">$B$11</f>
        <v>18910184.9592594</v>
      </c>
      <c r="E71" s="28" t="n">
        <f aca="false">C71-D71</f>
        <v>11126.5161504261</v>
      </c>
      <c r="F71" s="29" t="str">
        <f aca="false">IF(E71&gt;=0,"безопасно","ДЕФИЦИТ")</f>
        <v>безопасно</v>
      </c>
    </row>
    <row r="72" customFormat="false" ht="15" hidden="false" customHeight="false" outlineLevel="0" collapsed="false">
      <c r="A72" s="30" t="n">
        <v>0.25</v>
      </c>
      <c r="B72" s="31" t="n">
        <v>21750000</v>
      </c>
      <c r="C72" s="31" t="n">
        <f aca="false">B72/1.22</f>
        <v>17827868.852459</v>
      </c>
      <c r="D72" s="31" t="n">
        <f aca="false">$B$11</f>
        <v>18910184.9592594</v>
      </c>
      <c r="E72" s="31" t="n">
        <f aca="false">C72-D72</f>
        <v>-1082316.10680039</v>
      </c>
      <c r="F72" s="32" t="str">
        <f aca="false">IF(E72&gt;=0,"безопасно","ДЕФИЦИТ")</f>
        <v>ДЕФИЦИТ</v>
      </c>
    </row>
    <row r="73" customFormat="false" ht="15" hidden="false" customHeight="false" outlineLevel="0" collapsed="false">
      <c r="A73" s="30" t="n">
        <v>0.3</v>
      </c>
      <c r="B73" s="31" t="n">
        <v>20300000</v>
      </c>
      <c r="C73" s="31" t="n">
        <f aca="false">B73/1.22</f>
        <v>16639344.2622951</v>
      </c>
      <c r="D73" s="31" t="n">
        <f aca="false">$B$11</f>
        <v>18910184.9592594</v>
      </c>
      <c r="E73" s="31" t="n">
        <f aca="false">C73-D73</f>
        <v>-2270840.69696433</v>
      </c>
      <c r="F73" s="32" t="str">
        <f aca="false">IF(E73&gt;=0,"безопасно","ДЕФИЦИТ")</f>
        <v>ДЕФИЦИТ</v>
      </c>
    </row>
    <row r="74" customFormat="false" ht="15" hidden="false" customHeight="false" outlineLevel="0" collapsed="false">
      <c r="A74" s="30" t="n">
        <v>0.35</v>
      </c>
      <c r="B74" s="31" t="n">
        <v>18850000</v>
      </c>
      <c r="C74" s="31" t="n">
        <f aca="false">B74/1.22</f>
        <v>15450819.6721311</v>
      </c>
      <c r="D74" s="31" t="n">
        <f aca="false">$B$11</f>
        <v>18910184.9592594</v>
      </c>
      <c r="E74" s="31" t="n">
        <f aca="false">C74-D74</f>
        <v>-3459365.28712826</v>
      </c>
      <c r="F74" s="32" t="str">
        <f aca="false">IF(E74&gt;=0,"безопасно","ДЕФИЦИТ")</f>
        <v>ДЕФИЦИТ</v>
      </c>
    </row>
    <row r="76" customFormat="false" ht="15" hidden="false" customHeight="false" outlineLevel="0" collapsed="false">
      <c r="A76" s="23" t="s">
        <v>101</v>
      </c>
      <c r="B76" s="23"/>
      <c r="C76" s="23"/>
      <c r="D76" s="23"/>
      <c r="E76" s="23"/>
      <c r="F76" s="23"/>
    </row>
  </sheetData>
  <mergeCells count="2">
    <mergeCell ref="A53:H53"/>
    <mergeCell ref="A76:F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2026-09-21T11:07:31Z</dcterms:created>
  <dc:creator>openpyxl</dc:creator>
  <dc:description/>
  <dc:language>en-US</dc:language>
  <cp:lastModifiedBy/>
  <dcterms:modified xsi:type="dcterms:W3CDTF">2026-09-21T11:07:42Z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