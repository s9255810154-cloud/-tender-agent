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 со скидко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<sst xmlns="http://schemas.openxmlformats.org/spreadsheetml/2006/main" count="181" uniqueCount="93">
  <si>
    <t xml:space="preserve">Смета со скидкой — Административно-хозяйственный корпус, ул. Лужники, 24</t>
  </si>
  <si>
    <t xml:space="preserve">НМЦК (официальная смета заказчика, проверена до копейки): 2 999 211 ₽ с НДС</t>
  </si>
  <si>
    <t xml:space="preserve">Дата: 2026-09-21</t>
  </si>
  <si>
    <t xml:space="preserve">Жёлтые ячейки — редактируемые допущения</t>
  </si>
  <si>
    <t xml:space="preserve">Зелёный — безопасная зона</t>
  </si>
  <si>
    <t xml:space="preserve">Красный — цена ниже твёрдого пола (убыток)</t>
  </si>
  <si>
    <t xml:space="preserve">0. Численность персонала</t>
  </si>
  <si>
    <t xml:space="preserve">Суммарные трудозатраты по официальным расценкам, чел-час/контракт (6 мес)</t>
  </si>
  <si>
    <t xml:space="preserve">Доступно часов на 1 человека за контракт (8ч × 21 раб.день × 6 мес)</t>
  </si>
  <si>
    <t xml:space="preserve">ЧИСЛЕННОСТЬ ПЕРСОНАЛА</t>
  </si>
  <si>
    <t xml:space="preserve">человека</t>
  </si>
  <si>
    <t xml:space="preserve">Работы периодические (не ежедневное присутствие) — 2 человека покрывают весь объём работ по факту трудозатрат, при условии гибкого графика визитов.</t>
  </si>
  <si>
    <t xml:space="preserve">0б. Расходные материалы (официальная спецификация + наш аналог из прайсов)</t>
  </si>
  <si>
    <t xml:space="preserve">Наименование (официальный бренд)</t>
  </si>
  <si>
    <t xml:space="preserve">Кол-во за контракт</t>
  </si>
  <si>
    <t xml:space="preserve">Официальная сумма с НДС, ₽</t>
  </si>
  <si>
    <t xml:space="preserve">Наш аналог (прайс)</t>
  </si>
  <si>
    <t xml:space="preserve">Наш поставщик</t>
  </si>
  <si>
    <t xml:space="preserve">Наша цена, ₽</t>
  </si>
  <si>
    <t xml:space="preserve">Средство нейтральное жидкое моющее универсальное с пониженным уровнем пенообразования, тип</t>
  </si>
  <si>
    <t xml:space="preserve">не найдено в наших прайсах</t>
  </si>
  <si>
    <t xml:space="preserve">—</t>
  </si>
  <si>
    <t xml:space="preserve">Средство щелочное жидкое моющее концентрированное с пониженным уровнем пенообразования, ти</t>
  </si>
  <si>
    <t xml:space="preserve">Средство жидкое моющее универсальное, типа "Прогресс" (или эквивалент по уровню pH, % соде</t>
  </si>
  <si>
    <t xml:space="preserve">Средство нейтральное моющее универсальное высококонцентрированное  пенное, типа "Мегают"  </t>
  </si>
  <si>
    <t xml:space="preserve">Средство моющее для стекол и зеркал, с распылителем (0,0075 л НА 1 М2) или 0,75 л на 100 м</t>
  </si>
  <si>
    <t xml:space="preserve">AVUAR H-15 5л средство для стекол и (conf 0.76)</t>
  </si>
  <si>
    <t xml:space="preserve">ТК Сервис</t>
  </si>
  <si>
    <t xml:space="preserve">Средство кислотное высококонцентрированное бактерицидное  пенное для очистки и дезинфекции</t>
  </si>
  <si>
    <t xml:space="preserve">Дезинфицирующее средство концентрат "АЛМАДЕЗ Стерил" (0,03 л на 100 м2)  (или эквивалент п</t>
  </si>
  <si>
    <t xml:space="preserve">Grass Deso C9  600мл дезинфицирующе (conf 0.70)</t>
  </si>
  <si>
    <t xml:space="preserve">Дезинфицирующее средство концентрат "АЛМАДЕЗ Стерил" (0,2 л на 100 шт.) (или эквивалент по</t>
  </si>
  <si>
    <t xml:space="preserve">Средство нейтральное жидкое моющее специальное, дезинфицирующее, на растительной основе би</t>
  </si>
  <si>
    <t xml:space="preserve">Средство дезинфицирующее Ника-2, 1л (conf 0.67)</t>
  </si>
  <si>
    <t xml:space="preserve">Жидкое мыло Секреты Чистоты (или эквивалент по уровню pH)</t>
  </si>
  <si>
    <t xml:space="preserve">Жидкое мыло 500 мл с кремом HELP Ро (conf 0.72)</t>
  </si>
  <si>
    <t xml:space="preserve">Полотенца бумажные листовые Tork 120108 Universal H3 ZZ-сложения 1-слойные по 250 листов в</t>
  </si>
  <si>
    <t xml:space="preserve">Полотенца листовые Z Tork  Universa (conf 0.81)</t>
  </si>
  <si>
    <t xml:space="preserve">Стикер для очищения унитаза Domestos (или эквивалент по уровню рН и % содержанию нПАВ; пог</t>
  </si>
  <si>
    <t xml:space="preserve">Уход за санитарно-техническими приборами в зданиях отрасли , мытье писсуаров</t>
  </si>
  <si>
    <t xml:space="preserve">Дезинфицирующее средство концентрат "АЛМАДЕЗ Стерил" (0,15 л на 100 шт.) (или эквивалент п</t>
  </si>
  <si>
    <t xml:space="preserve">Grass Deso C9  600мл дезинфицирующе (conf 0.71)</t>
  </si>
  <si>
    <t xml:space="preserve">Туалетная бумага TORK 200 м (или эквивалент по длине, диспенсерной системе)</t>
  </si>
  <si>
    <t xml:space="preserve">Туалетная бумага 1сл 200м Proff Com (conf 0.89)</t>
  </si>
  <si>
    <t xml:space="preserve">Таблетки для писсуаров Snowter (или эквивалент по уровню рН и % содержанию нПАВ; поглотите</t>
  </si>
  <si>
    <t xml:space="preserve">Средство нейтральное моющее универсальное высококонцентрированное  пенное, типа "Мегают"(0</t>
  </si>
  <si>
    <t xml:space="preserve">Средство моющее для стекол и зеркал, с распылителем (0,003 л НА 1 М2) или 0,30 л на 100 м2</t>
  </si>
  <si>
    <t xml:space="preserve">Grass Oris Средство для очистки сте (conf 0.75)</t>
  </si>
  <si>
    <t xml:space="preserve">Пакеты ПНД для мусора, объем пакета не менее 30 л</t>
  </si>
  <si>
    <t xml:space="preserve">Мешки для мусора 30 л 50 шт/рул. че (conf 0.86)</t>
  </si>
  <si>
    <t xml:space="preserve">Пакеты ПНД для мусора, объем пакета 120 л ( 0,1шт на 100 шт.)</t>
  </si>
  <si>
    <t xml:space="preserve">Мешки для мусора 120 л 15мкм 50 шт/ (conf 0.89)</t>
  </si>
  <si>
    <t xml:space="preserve">Пакеты ПНД для мусора, объем пакета  не менее  60 л ( 100 шт на 100 шт.)</t>
  </si>
  <si>
    <t xml:space="preserve">Мешки для мусора 60 л 20 шт/рул. че (conf 0.88)</t>
  </si>
  <si>
    <t xml:space="preserve">Пакеты ПНД для мусора, объем пакета 60 л</t>
  </si>
  <si>
    <t xml:space="preserve">Мешки для мусора 60 л 20 шт/рул. че (conf 0.87)</t>
  </si>
  <si>
    <t xml:space="preserve">Дезинфицирующее средство концентрат "АЛМАДЕЗ Стерил" (0,02 л на 100 шт.)  (или эквивалент </t>
  </si>
  <si>
    <t xml:space="preserve">ИТОГО материалы (с НДС)</t>
  </si>
  <si>
    <t xml:space="preserve">1. Структура НМЦК (без НДС)</t>
  </si>
  <si>
    <t xml:space="preserve">Компонент</t>
  </si>
  <si>
    <t xml:space="preserve">Сумма, ₽</t>
  </si>
  <si>
    <t xml:space="preserve">% от сметы</t>
  </si>
  <si>
    <t xml:space="preserve">Можно сократить?</t>
  </si>
  <si>
    <t xml:space="preserve">ЗП (база, реальная оплата труда)</t>
  </si>
  <si>
    <t xml:space="preserve">Нет</t>
  </si>
  <si>
    <t xml:space="preserve">ФОТ-надбавка (страховые взносы, 30.2%)</t>
  </si>
  <si>
    <t xml:space="preserve">Нет, обязательна по закону</t>
  </si>
  <si>
    <t xml:space="preserve">Материалы (база, по брендам заказчика)</t>
  </si>
  <si>
    <t xml:space="preserve">Частично — см. раздел 2</t>
  </si>
  <si>
    <t xml:space="preserve">Накладные расходы — УБРАНО ПО ЗАПРОСУ (было 20% = 231 550,80 ₽)</t>
  </si>
  <si>
    <t xml:space="preserve">Исключено из расчёта</t>
  </si>
  <si>
    <t xml:space="preserve">Сметная прибыль (5%)</t>
  </si>
  <si>
    <t xml:space="preserve">Да — гибкая часть</t>
  </si>
  <si>
    <t xml:space="preserve">ИТОГО без НДС (пересчитано, без накладных)</t>
  </si>
  <si>
    <t xml:space="preserve">Справочно — официальный НМЦК без НДС (с накладными): 2,458,369.67 ₽</t>
  </si>
  <si>
    <t xml:space="preserve">2. Оптимизация материалов (замена на эквиваленты)</t>
  </si>
  <si>
    <t xml:space="preserve">Доля брендовых материалов (Tork/Domestos/Секреты Чистоты и т.п.)</t>
  </si>
  <si>
    <t xml:space="preserve">Экономия при замене на эквивалент (по опыту наших прайсов)</t>
  </si>
  <si>
    <t xml:space="preserve">Проверьте по факту доступных эквивалентов у ваших поставщиков</t>
  </si>
  <si>
    <t xml:space="preserve">Экономия на материалах, ₽</t>
  </si>
  <si>
    <t xml:space="preserve">3. Твёрдый пол и максимальная безопасная скидка</t>
  </si>
  <si>
    <t xml:space="preserve">Твёрдый пол (ЗП + ФОТ + материалы, с учётом экономии на материалах)</t>
  </si>
  <si>
    <t xml:space="preserve">Максимальная безопасная скидка от НМЦК без НДС</t>
  </si>
  <si>
    <t xml:space="preserve">Цена без накладных, но С прибылью (твёрдый пол + сметная прибыль 5%)</t>
  </si>
  <si>
    <t xml:space="preserve">Соответствующая скидка от НМЦК (без накладных, с прибылью)</t>
  </si>
  <si>
    <t xml:space="preserve">4. Сценарии скидки для ставки в торгах</t>
  </si>
  <si>
    <t xml:space="preserve">Скидка от НМЦК</t>
  </si>
  <si>
    <t xml:space="preserve">Цена с НДС</t>
  </si>
  <si>
    <t xml:space="preserve">Цена без НДС</t>
  </si>
  <si>
    <t xml:space="preserve">Твёрдый пол</t>
  </si>
  <si>
    <t xml:space="preserve">Запас (+) / Дефицит (-)</t>
  </si>
  <si>
    <t xml:space="preserve">Статус</t>
  </si>
  <si>
    <t xml:space="preserve">Накладные расходы убраны из расчёта (раздел 1). Цена без накладных, но с сохранённой прибылью = 2,042,978 ₽ без НДС — это соответствует скидке ~16.9% от НМЦК. Абсолютный пол (без накладных И без прибыли, только зарплата+взносы+материалы) остаётся на уровне ~19.3% — это крайний случай, не рекомендуется как рабочая ставка. Строки 30% и 35% по-прежнему показывают дефицит даже без накладных.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</si>
</sst>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C5" s="4" t="s">
        <v>4</v>
      </c>
      <c r="E5" s="5" t="s">
        <v>5</v>
      </c>
    </row>
    <row r="7" customFormat="false" ht="15" hidden="false" customHeight="false" outlineLevel="0" collapsed="false">
      <c r="A7" s="6" t="s">
        <v>6</v>
      </c>
      <c r="B7" s="7"/>
    </row>
    <row r="8" customFormat="false" ht="15" hidden="false" customHeight="false" outlineLevel="0" collapsed="false">
      <c r="A8" s="7" t="s">
        <v>7</v>
      </c>
      <c r="B8" s="7" t="n">
        <v>2456.4</v>
      </c>
    </row>
    <row r="9" customFormat="false" ht="15" hidden="false" customHeight="false" outlineLevel="0" collapsed="false">
      <c r="A9" s="7" t="s">
        <v>8</v>
      </c>
      <c r="B9" s="7" t="n">
        <v>1008</v>
      </c>
    </row>
    <row r="10" customFormat="false" ht="16.15" hidden="false" customHeight="false" outlineLevel="0" collapsed="false">
      <c r="A10" s="8" t="s">
        <v>9</v>
      </c>
      <c r="B10" s="8" t="n">
        <v>2</v>
      </c>
      <c r="C10" s="9" t="s">
        <v>10</v>
      </c>
    </row>
    <row r="11" customFormat="false" ht="15" hidden="false" customHeight="false" outlineLevel="0" collapsed="false">
      <c r="A11" s="10" t="s">
        <v>11</v>
      </c>
      <c r="B11" s="7"/>
    </row>
    <row r="13" customFormat="false" ht="15" hidden="false" customHeight="false" outlineLevel="0" collapsed="false">
      <c r="A13" s="11" t="s">
        <v>12</v>
      </c>
    </row>
    <row r="14" customFormat="false" ht="15" hidden="false" customHeight="false" outlineLevel="0" collapsed="false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</row>
    <row r="15" customFormat="false" ht="15" hidden="false" customHeight="false" outlineLevel="0" collapsed="false">
      <c r="A15" s="13" t="s">
        <v>19</v>
      </c>
      <c r="B15" s="13" t="n">
        <v>9.914</v>
      </c>
      <c r="C15" s="14" t="n">
        <v>1859.47</v>
      </c>
      <c r="D15" s="13" t="s">
        <v>20</v>
      </c>
      <c r="E15" s="13" t="s">
        <v>21</v>
      </c>
      <c r="F15" s="13" t="n">
        <v>0</v>
      </c>
    </row>
    <row r="16" customFormat="false" ht="15" hidden="false" customHeight="false" outlineLevel="0" collapsed="false">
      <c r="A16" s="13" t="s">
        <v>22</v>
      </c>
      <c r="B16" s="13" t="n">
        <v>8.262</v>
      </c>
      <c r="C16" s="14" t="n">
        <v>1887.04</v>
      </c>
      <c r="D16" s="13" t="s">
        <v>20</v>
      </c>
      <c r="E16" s="13" t="s">
        <v>21</v>
      </c>
      <c r="F16" s="13" t="n">
        <v>0</v>
      </c>
    </row>
    <row r="17" customFormat="false" ht="15" hidden="false" customHeight="false" outlineLevel="0" collapsed="false">
      <c r="A17" s="13" t="s">
        <v>19</v>
      </c>
      <c r="B17" s="13" t="n">
        <v>7.634</v>
      </c>
      <c r="C17" s="14" t="n">
        <v>1431.83</v>
      </c>
      <c r="D17" s="13" t="s">
        <v>20</v>
      </c>
      <c r="E17" s="13" t="s">
        <v>21</v>
      </c>
      <c r="F17" s="13" t="n">
        <v>0</v>
      </c>
    </row>
    <row r="18" customFormat="false" ht="15" hidden="false" customHeight="false" outlineLevel="0" collapsed="false">
      <c r="A18" s="13" t="s">
        <v>22</v>
      </c>
      <c r="B18" s="13" t="n">
        <v>6.362</v>
      </c>
      <c r="C18" s="14" t="n">
        <v>1453.08</v>
      </c>
      <c r="D18" s="13" t="s">
        <v>20</v>
      </c>
      <c r="E18" s="13" t="s">
        <v>21</v>
      </c>
      <c r="F18" s="13" t="n">
        <v>0</v>
      </c>
    </row>
    <row r="19" customFormat="false" ht="15" hidden="false" customHeight="false" outlineLevel="0" collapsed="false">
      <c r="A19" s="13" t="s">
        <v>19</v>
      </c>
      <c r="B19" s="13" t="n">
        <v>31.2</v>
      </c>
      <c r="C19" s="14" t="n">
        <v>5851.87</v>
      </c>
      <c r="D19" s="13" t="s">
        <v>20</v>
      </c>
      <c r="E19" s="13" t="s">
        <v>21</v>
      </c>
      <c r="F19" s="13" t="n">
        <v>0</v>
      </c>
    </row>
    <row r="20" customFormat="false" ht="15" hidden="false" customHeight="false" outlineLevel="0" collapsed="false">
      <c r="A20" s="13" t="s">
        <v>23</v>
      </c>
      <c r="B20" s="13" t="n">
        <v>1.72</v>
      </c>
      <c r="C20" s="14" t="n">
        <v>102.86</v>
      </c>
      <c r="D20" s="13" t="s">
        <v>20</v>
      </c>
      <c r="E20" s="13" t="s">
        <v>21</v>
      </c>
      <c r="F20" s="13" t="n">
        <v>0</v>
      </c>
    </row>
    <row r="21" customFormat="false" ht="15" hidden="false" customHeight="false" outlineLevel="0" collapsed="false">
      <c r="A21" s="13" t="s">
        <v>24</v>
      </c>
      <c r="B21" s="13" t="n">
        <v>0.507</v>
      </c>
      <c r="C21" s="14" t="n">
        <v>67.43</v>
      </c>
      <c r="D21" s="13" t="s">
        <v>20</v>
      </c>
      <c r="E21" s="13" t="s">
        <v>21</v>
      </c>
      <c r="F21" s="13" t="n">
        <v>0</v>
      </c>
    </row>
    <row r="22" customFormat="false" ht="15" hidden="false" customHeight="false" outlineLevel="0" collapsed="false">
      <c r="A22" s="13" t="s">
        <v>24</v>
      </c>
      <c r="B22" s="13" t="n">
        <v>1.135</v>
      </c>
      <c r="C22" s="14" t="n">
        <v>150.96</v>
      </c>
      <c r="D22" s="13" t="s">
        <v>20</v>
      </c>
      <c r="E22" s="13" t="s">
        <v>21</v>
      </c>
      <c r="F22" s="13" t="n">
        <v>0</v>
      </c>
    </row>
    <row r="23" customFormat="false" ht="15" hidden="false" customHeight="false" outlineLevel="0" collapsed="false">
      <c r="A23" s="13" t="s">
        <v>24</v>
      </c>
      <c r="B23" s="13" t="n">
        <v>4.012</v>
      </c>
      <c r="C23" s="14" t="n">
        <v>533.6</v>
      </c>
      <c r="D23" s="13" t="s">
        <v>20</v>
      </c>
      <c r="E23" s="13" t="s">
        <v>21</v>
      </c>
      <c r="F23" s="13" t="n">
        <v>0</v>
      </c>
    </row>
    <row r="24" customFormat="false" ht="15" hidden="false" customHeight="false" outlineLevel="0" collapsed="false">
      <c r="A24" s="13" t="s">
        <v>25</v>
      </c>
      <c r="B24" s="13" t="n">
        <v>17.144</v>
      </c>
      <c r="C24" s="14" t="n">
        <v>2300.55</v>
      </c>
      <c r="D24" s="13" t="s">
        <v>26</v>
      </c>
      <c r="E24" s="13" t="s">
        <v>27</v>
      </c>
      <c r="F24" s="14" t="n">
        <v>361.89</v>
      </c>
    </row>
    <row r="25" customFormat="false" ht="15" hidden="false" customHeight="false" outlineLevel="0" collapsed="false">
      <c r="A25" s="13" t="s">
        <v>28</v>
      </c>
      <c r="B25" s="13" t="n">
        <v>42.38</v>
      </c>
      <c r="C25" s="14" t="n">
        <v>7844.54</v>
      </c>
      <c r="D25" s="13" t="s">
        <v>20</v>
      </c>
      <c r="E25" s="13" t="s">
        <v>21</v>
      </c>
      <c r="F25" s="13" t="n">
        <v>0</v>
      </c>
    </row>
    <row r="26" customFormat="false" ht="15" hidden="false" customHeight="false" outlineLevel="0" collapsed="false">
      <c r="A26" s="13" t="s">
        <v>28</v>
      </c>
      <c r="B26" s="13" t="n">
        <v>30.935</v>
      </c>
      <c r="C26" s="14" t="n">
        <v>5726.07</v>
      </c>
      <c r="D26" s="13" t="s">
        <v>20</v>
      </c>
      <c r="E26" s="13" t="s">
        <v>21</v>
      </c>
      <c r="F26" s="13" t="n">
        <v>0</v>
      </c>
    </row>
    <row r="27" customFormat="false" ht="15" hidden="false" customHeight="false" outlineLevel="0" collapsed="false">
      <c r="A27" s="13" t="s">
        <v>29</v>
      </c>
      <c r="B27" s="13" t="n">
        <v>0.516</v>
      </c>
      <c r="C27" s="14" t="n">
        <v>280.6</v>
      </c>
      <c r="D27" s="13" t="s">
        <v>30</v>
      </c>
      <c r="E27" s="13" t="s">
        <v>27</v>
      </c>
      <c r="F27" s="14" t="n">
        <v>195.49</v>
      </c>
    </row>
    <row r="28" customFormat="false" ht="15" hidden="false" customHeight="false" outlineLevel="0" collapsed="false">
      <c r="A28" s="13" t="s">
        <v>28</v>
      </c>
      <c r="B28" s="13" t="n">
        <v>9.454</v>
      </c>
      <c r="C28" s="14" t="n">
        <v>1749.94</v>
      </c>
      <c r="D28" s="13" t="s">
        <v>20</v>
      </c>
      <c r="E28" s="13" t="s">
        <v>21</v>
      </c>
      <c r="F28" s="13" t="n">
        <v>0</v>
      </c>
    </row>
    <row r="29" customFormat="false" ht="15" hidden="false" customHeight="false" outlineLevel="0" collapsed="false">
      <c r="A29" s="13" t="s">
        <v>29</v>
      </c>
      <c r="B29" s="13" t="n">
        <v>0.158</v>
      </c>
      <c r="C29" s="14" t="n">
        <v>85.92</v>
      </c>
      <c r="D29" s="13" t="s">
        <v>30</v>
      </c>
      <c r="E29" s="13" t="s">
        <v>27</v>
      </c>
      <c r="F29" s="14" t="n">
        <v>195.49</v>
      </c>
    </row>
    <row r="30" customFormat="false" ht="15" hidden="false" customHeight="false" outlineLevel="0" collapsed="false">
      <c r="A30" s="13" t="s">
        <v>31</v>
      </c>
      <c r="B30" s="13" t="n">
        <v>0.072</v>
      </c>
      <c r="C30" s="14" t="n">
        <v>39.15</v>
      </c>
      <c r="D30" s="13" t="s">
        <v>30</v>
      </c>
      <c r="E30" s="13" t="s">
        <v>27</v>
      </c>
      <c r="F30" s="14" t="n">
        <v>195.49</v>
      </c>
    </row>
    <row r="31" customFormat="false" ht="15" hidden="false" customHeight="false" outlineLevel="0" collapsed="false">
      <c r="A31" s="13" t="s">
        <v>32</v>
      </c>
      <c r="B31" s="13" t="n">
        <v>1.26</v>
      </c>
      <c r="C31" s="14" t="n">
        <v>178.96</v>
      </c>
      <c r="D31" s="13" t="s">
        <v>33</v>
      </c>
      <c r="E31" s="13" t="s">
        <v>27</v>
      </c>
      <c r="F31" s="14" t="n">
        <v>184.32</v>
      </c>
    </row>
    <row r="32" customFormat="false" ht="15" hidden="false" customHeight="false" outlineLevel="0" collapsed="false">
      <c r="A32" s="13" t="s">
        <v>31</v>
      </c>
      <c r="B32" s="13" t="n">
        <v>9.464</v>
      </c>
      <c r="C32" s="14" t="n">
        <v>5146.52</v>
      </c>
      <c r="D32" s="13" t="s">
        <v>30</v>
      </c>
      <c r="E32" s="13" t="s">
        <v>27</v>
      </c>
      <c r="F32" s="14" t="n">
        <v>195.49</v>
      </c>
    </row>
    <row r="33" customFormat="false" ht="15" hidden="false" customHeight="false" outlineLevel="0" collapsed="false">
      <c r="A33" s="13" t="s">
        <v>32</v>
      </c>
      <c r="B33" s="13" t="n">
        <v>141.96</v>
      </c>
      <c r="C33" s="14" t="n">
        <v>20162.58</v>
      </c>
      <c r="D33" s="13" t="s">
        <v>33</v>
      </c>
      <c r="E33" s="13" t="s">
        <v>27</v>
      </c>
      <c r="F33" s="14" t="n">
        <v>184.32</v>
      </c>
    </row>
    <row r="34" customFormat="false" ht="15" hidden="false" customHeight="false" outlineLevel="0" collapsed="false">
      <c r="A34" s="13" t="s">
        <v>28</v>
      </c>
      <c r="B34" s="13" t="n">
        <v>13.65</v>
      </c>
      <c r="C34" s="14" t="n">
        <v>2526.62</v>
      </c>
      <c r="D34" s="13" t="s">
        <v>20</v>
      </c>
      <c r="E34" s="13" t="s">
        <v>21</v>
      </c>
      <c r="F34" s="13" t="n">
        <v>0</v>
      </c>
    </row>
    <row r="35" customFormat="false" ht="15" hidden="false" customHeight="false" outlineLevel="0" collapsed="false">
      <c r="A35" s="13" t="s">
        <v>34</v>
      </c>
      <c r="B35" s="13" t="n">
        <v>819</v>
      </c>
      <c r="C35" s="14" t="n">
        <v>40458.6</v>
      </c>
      <c r="D35" s="13" t="s">
        <v>35</v>
      </c>
      <c r="E35" s="13" t="s">
        <v>27</v>
      </c>
      <c r="F35" s="14" t="n">
        <v>99.64</v>
      </c>
    </row>
    <row r="36" customFormat="false" ht="15" hidden="false" customHeight="false" outlineLevel="0" collapsed="false">
      <c r="A36" s="13" t="s">
        <v>28</v>
      </c>
      <c r="B36" s="13" t="n">
        <v>10.01</v>
      </c>
      <c r="C36" s="14" t="n">
        <v>1852.85</v>
      </c>
      <c r="D36" s="13" t="s">
        <v>20</v>
      </c>
      <c r="E36" s="13" t="s">
        <v>21</v>
      </c>
      <c r="F36" s="13" t="n">
        <v>0</v>
      </c>
    </row>
    <row r="37" customFormat="false" ht="15" hidden="false" customHeight="false" outlineLevel="0" collapsed="false">
      <c r="A37" s="13" t="s">
        <v>36</v>
      </c>
      <c r="B37" s="13" t="n">
        <v>1001</v>
      </c>
      <c r="C37" s="14" t="n">
        <v>124824.7</v>
      </c>
      <c r="D37" s="13" t="s">
        <v>37</v>
      </c>
      <c r="E37" s="13" t="s">
        <v>27</v>
      </c>
      <c r="F37" s="14" t="n">
        <v>440.27</v>
      </c>
    </row>
    <row r="38" customFormat="false" ht="15" hidden="false" customHeight="false" outlineLevel="0" collapsed="false">
      <c r="A38" s="13" t="s">
        <v>31</v>
      </c>
      <c r="B38" s="13" t="n">
        <v>11.648</v>
      </c>
      <c r="C38" s="14" t="n">
        <v>6334.18</v>
      </c>
      <c r="D38" s="13" t="s">
        <v>30</v>
      </c>
      <c r="E38" s="13" t="s">
        <v>27</v>
      </c>
      <c r="F38" s="14" t="n">
        <v>195.49</v>
      </c>
    </row>
    <row r="39" customFormat="false" ht="15" hidden="false" customHeight="false" outlineLevel="0" collapsed="false">
      <c r="A39" s="13" t="s">
        <v>32</v>
      </c>
      <c r="B39" s="13" t="n">
        <v>174.72</v>
      </c>
      <c r="C39" s="14" t="n">
        <v>24815.48</v>
      </c>
      <c r="D39" s="13" t="s">
        <v>33</v>
      </c>
      <c r="E39" s="13" t="s">
        <v>27</v>
      </c>
      <c r="F39" s="14" t="n">
        <v>184.32</v>
      </c>
    </row>
    <row r="40" customFormat="false" ht="15" hidden="false" customHeight="false" outlineLevel="0" collapsed="false">
      <c r="A40" s="13" t="s">
        <v>38</v>
      </c>
      <c r="B40" s="13" t="n">
        <v>1664</v>
      </c>
      <c r="C40" s="14" t="n">
        <v>42931.2</v>
      </c>
      <c r="D40" s="13" t="s">
        <v>20</v>
      </c>
      <c r="E40" s="13" t="s">
        <v>21</v>
      </c>
      <c r="F40" s="13" t="n">
        <v>0</v>
      </c>
    </row>
    <row r="41" customFormat="false" ht="15" hidden="false" customHeight="false" outlineLevel="0" collapsed="false">
      <c r="A41" s="13" t="s">
        <v>28</v>
      </c>
      <c r="B41" s="13" t="n">
        <v>29.12</v>
      </c>
      <c r="C41" s="14" t="n">
        <v>5390.11</v>
      </c>
      <c r="D41" s="13" t="s">
        <v>20</v>
      </c>
      <c r="E41" s="13" t="s">
        <v>21</v>
      </c>
      <c r="F41" s="13" t="n">
        <v>0</v>
      </c>
    </row>
    <row r="42" customFormat="false" ht="15" hidden="false" customHeight="false" outlineLevel="0" collapsed="false">
      <c r="A42" s="13" t="s">
        <v>39</v>
      </c>
      <c r="B42" s="13" t="n">
        <v>0.03</v>
      </c>
      <c r="C42" s="14" t="n">
        <v>23606.47</v>
      </c>
      <c r="D42" s="13" t="s">
        <v>20</v>
      </c>
      <c r="E42" s="13" t="s">
        <v>21</v>
      </c>
      <c r="F42" s="13" t="n">
        <v>0</v>
      </c>
    </row>
    <row r="43" customFormat="false" ht="15" hidden="false" customHeight="false" outlineLevel="0" collapsed="false">
      <c r="A43" s="13" t="s">
        <v>40</v>
      </c>
      <c r="B43" s="13" t="n">
        <v>0.819</v>
      </c>
      <c r="C43" s="14" t="n">
        <v>445.37</v>
      </c>
      <c r="D43" s="13" t="s">
        <v>41</v>
      </c>
      <c r="E43" s="13" t="s">
        <v>27</v>
      </c>
      <c r="F43" s="14" t="n">
        <v>195.49</v>
      </c>
    </row>
    <row r="44" customFormat="false" ht="15" hidden="false" customHeight="false" outlineLevel="0" collapsed="false">
      <c r="A44" s="13" t="s">
        <v>32</v>
      </c>
      <c r="B44" s="13" t="n">
        <v>10.92</v>
      </c>
      <c r="C44" s="14" t="n">
        <v>1550.97</v>
      </c>
      <c r="D44" s="13" t="s">
        <v>33</v>
      </c>
      <c r="E44" s="13" t="s">
        <v>27</v>
      </c>
      <c r="F44" s="14" t="n">
        <v>184.32</v>
      </c>
    </row>
    <row r="45" customFormat="false" ht="15" hidden="false" customHeight="false" outlineLevel="0" collapsed="false">
      <c r="A45" s="13" t="s">
        <v>42</v>
      </c>
      <c r="B45" s="13" t="n">
        <v>1165</v>
      </c>
      <c r="C45" s="14" t="n">
        <v>174843.21</v>
      </c>
      <c r="D45" s="13" t="s">
        <v>43</v>
      </c>
      <c r="E45" s="13" t="s">
        <v>27</v>
      </c>
      <c r="F45" s="14" t="n">
        <v>49.48</v>
      </c>
    </row>
    <row r="46" customFormat="false" ht="15" hidden="false" customHeight="false" outlineLevel="0" collapsed="false">
      <c r="A46" s="13" t="s">
        <v>44</v>
      </c>
      <c r="B46" s="13" t="n">
        <v>546</v>
      </c>
      <c r="C46" s="14" t="n">
        <v>8992.62</v>
      </c>
      <c r="D46" s="13" t="s">
        <v>20</v>
      </c>
      <c r="E46" s="13" t="s">
        <v>21</v>
      </c>
      <c r="F46" s="13" t="n">
        <v>0</v>
      </c>
    </row>
    <row r="47" customFormat="false" ht="15" hidden="false" customHeight="false" outlineLevel="0" collapsed="false">
      <c r="A47" s="13" t="s">
        <v>45</v>
      </c>
      <c r="B47" s="13" t="n">
        <v>10.4</v>
      </c>
      <c r="C47" s="14" t="n">
        <v>1383.2</v>
      </c>
      <c r="D47" s="13" t="s">
        <v>20</v>
      </c>
      <c r="E47" s="13" t="s">
        <v>21</v>
      </c>
      <c r="F47" s="13" t="n">
        <v>0</v>
      </c>
    </row>
    <row r="48" customFormat="false" ht="15" hidden="false" customHeight="false" outlineLevel="0" collapsed="false">
      <c r="A48" s="13" t="s">
        <v>46</v>
      </c>
      <c r="B48" s="13" t="n">
        <v>2.66</v>
      </c>
      <c r="C48" s="14" t="n">
        <v>356.95</v>
      </c>
      <c r="D48" s="13" t="s">
        <v>47</v>
      </c>
      <c r="E48" s="13" t="s">
        <v>27</v>
      </c>
      <c r="F48" s="14" t="n">
        <v>67.81</v>
      </c>
    </row>
    <row r="49" customFormat="false" ht="15" hidden="false" customHeight="false" outlineLevel="0" collapsed="false">
      <c r="A49" s="13" t="s">
        <v>24</v>
      </c>
      <c r="B49" s="13" t="n">
        <v>4.441</v>
      </c>
      <c r="C49" s="14" t="n">
        <v>590.65</v>
      </c>
      <c r="D49" s="13" t="s">
        <v>20</v>
      </c>
      <c r="E49" s="13" t="s">
        <v>21</v>
      </c>
      <c r="F49" s="13" t="n">
        <v>0</v>
      </c>
    </row>
    <row r="50" customFormat="false" ht="15" hidden="false" customHeight="false" outlineLevel="0" collapsed="false">
      <c r="A50" s="13" t="s">
        <v>46</v>
      </c>
      <c r="B50" s="13" t="n">
        <v>1.48</v>
      </c>
      <c r="C50" s="14" t="n">
        <v>198.6</v>
      </c>
      <c r="D50" s="13" t="s">
        <v>47</v>
      </c>
      <c r="E50" s="13" t="s">
        <v>27</v>
      </c>
      <c r="F50" s="14" t="n">
        <v>67.81</v>
      </c>
    </row>
    <row r="51" customFormat="false" ht="15" hidden="false" customHeight="false" outlineLevel="0" collapsed="false">
      <c r="A51" s="13" t="s">
        <v>48</v>
      </c>
      <c r="B51" s="13" t="n">
        <v>1820</v>
      </c>
      <c r="C51" s="14" t="n">
        <v>3367</v>
      </c>
      <c r="D51" s="13" t="s">
        <v>49</v>
      </c>
      <c r="E51" s="13" t="s">
        <v>27</v>
      </c>
      <c r="F51" s="14" t="n">
        <v>69.53</v>
      </c>
    </row>
    <row r="52" customFormat="false" ht="15" hidden="false" customHeight="false" outlineLevel="0" collapsed="false">
      <c r="A52" s="13" t="s">
        <v>50</v>
      </c>
      <c r="B52" s="13" t="n">
        <v>103</v>
      </c>
      <c r="C52" s="14" t="n">
        <v>1258.66</v>
      </c>
      <c r="D52" s="13" t="s">
        <v>51</v>
      </c>
      <c r="E52" s="13" t="s">
        <v>27</v>
      </c>
      <c r="F52" s="14" t="n">
        <v>278.97</v>
      </c>
    </row>
    <row r="53" customFormat="false" ht="15" hidden="false" customHeight="false" outlineLevel="0" collapsed="false">
      <c r="A53" s="13" t="s">
        <v>52</v>
      </c>
      <c r="B53" s="13" t="n">
        <v>906</v>
      </c>
      <c r="C53" s="14" t="n">
        <v>1893.54</v>
      </c>
      <c r="D53" s="13" t="s">
        <v>53</v>
      </c>
      <c r="E53" s="13" t="s">
        <v>27</v>
      </c>
      <c r="F53" s="14" t="n">
        <v>36.73</v>
      </c>
    </row>
    <row r="54" customFormat="false" ht="15" hidden="false" customHeight="false" outlineLevel="0" collapsed="false">
      <c r="A54" s="13" t="s">
        <v>52</v>
      </c>
      <c r="B54" s="13" t="n">
        <v>180</v>
      </c>
      <c r="C54" s="14" t="n">
        <v>376.2</v>
      </c>
      <c r="D54" s="13" t="s">
        <v>53</v>
      </c>
      <c r="E54" s="13" t="s">
        <v>27</v>
      </c>
      <c r="F54" s="14" t="n">
        <v>36.73</v>
      </c>
    </row>
    <row r="55" customFormat="false" ht="15" hidden="false" customHeight="false" outlineLevel="0" collapsed="false">
      <c r="A55" s="13" t="s">
        <v>54</v>
      </c>
      <c r="B55" s="13" t="n">
        <v>6</v>
      </c>
      <c r="C55" s="14" t="n">
        <v>12.54</v>
      </c>
      <c r="D55" s="13" t="s">
        <v>55</v>
      </c>
      <c r="E55" s="13" t="s">
        <v>27</v>
      </c>
      <c r="F55" s="14" t="n">
        <v>36.73</v>
      </c>
    </row>
    <row r="56" customFormat="false" ht="15" hidden="false" customHeight="false" outlineLevel="0" collapsed="false">
      <c r="A56" s="13" t="s">
        <v>56</v>
      </c>
      <c r="B56" s="13" t="n">
        <v>0.001</v>
      </c>
      <c r="C56" s="14" t="n">
        <v>0.54</v>
      </c>
      <c r="D56" s="13" t="s">
        <v>30</v>
      </c>
      <c r="E56" s="13" t="s">
        <v>27</v>
      </c>
      <c r="F56" s="14" t="n">
        <v>195.49</v>
      </c>
    </row>
    <row r="57" customFormat="false" ht="15" hidden="false" customHeight="false" outlineLevel="0" collapsed="false">
      <c r="A57" s="15" t="s">
        <v>57</v>
      </c>
      <c r="C57" s="16" t="n">
        <f aca="false">SUM(C15:C56)</f>
        <v>524863.23</v>
      </c>
    </row>
    <row r="59" customFormat="false" ht="15" hidden="false" customHeight="false" outlineLevel="0" collapsed="false">
      <c r="A59" s="11" t="s">
        <v>58</v>
      </c>
    </row>
    <row r="60" customFormat="false" ht="15" hidden="false" customHeight="false" outlineLevel="0" collapsed="false">
      <c r="A60" s="12" t="s">
        <v>59</v>
      </c>
      <c r="B60" s="12" t="s">
        <v>60</v>
      </c>
      <c r="C60" s="12" t="s">
        <v>61</v>
      </c>
      <c r="D60" s="12" t="s">
        <v>62</v>
      </c>
    </row>
    <row r="61" customFormat="false" ht="15" hidden="false" customHeight="false" outlineLevel="0" collapsed="false">
      <c r="A61" s="7" t="s">
        <v>63</v>
      </c>
      <c r="B61" s="17" t="n">
        <v>1157754</v>
      </c>
      <c r="C61" s="18" t="n">
        <f aca="false">B61/$B$66</f>
        <v>0.519913862594491</v>
      </c>
      <c r="D61" s="7" t="s">
        <v>64</v>
      </c>
    </row>
    <row r="62" customFormat="false" ht="15" hidden="false" customHeight="false" outlineLevel="0" collapsed="false">
      <c r="A62" s="7" t="s">
        <v>65</v>
      </c>
      <c r="B62" s="17" t="n">
        <f aca="false">B61*0.302</f>
        <v>349641.708</v>
      </c>
      <c r="C62" s="18" t="n">
        <f aca="false">B62/$B$66</f>
        <v>0.157013986503536</v>
      </c>
      <c r="D62" s="7" t="s">
        <v>66</v>
      </c>
    </row>
    <row r="63" customFormat="false" ht="15" hidden="false" customHeight="false" outlineLevel="0" collapsed="false">
      <c r="A63" s="7" t="s">
        <v>67</v>
      </c>
      <c r="B63" s="17" t="n">
        <v>661535.462</v>
      </c>
      <c r="C63" s="18" t="n">
        <f aca="false">B63/$B$66</f>
        <v>0.297076457772248</v>
      </c>
      <c r="D63" s="7" t="s">
        <v>68</v>
      </c>
    </row>
    <row r="64" customFormat="false" ht="15" hidden="false" customHeight="false" outlineLevel="0" collapsed="false">
      <c r="A64" s="19" t="s">
        <v>69</v>
      </c>
      <c r="B64" s="17" t="n">
        <v>0</v>
      </c>
      <c r="C64" s="18" t="n">
        <v>0</v>
      </c>
      <c r="D64" s="7" t="s">
        <v>70</v>
      </c>
    </row>
    <row r="65" customFormat="false" ht="15" hidden="false" customHeight="false" outlineLevel="0" collapsed="false">
      <c r="A65" s="7" t="s">
        <v>71</v>
      </c>
      <c r="B65" s="17" t="n">
        <f aca="false">B61*0.05</f>
        <v>57887.7</v>
      </c>
      <c r="C65" s="18" t="n">
        <f aca="false">B65/$B$66</f>
        <v>0.0259956931297246</v>
      </c>
      <c r="D65" s="7" t="s">
        <v>72</v>
      </c>
    </row>
    <row r="66" customFormat="false" ht="15" hidden="false" customHeight="false" outlineLevel="0" collapsed="false">
      <c r="A66" s="6" t="s">
        <v>73</v>
      </c>
      <c r="B66" s="20" t="n">
        <f aca="false">B61+B62+B63+B64+B65</f>
        <v>2226818.87</v>
      </c>
      <c r="C66" s="7"/>
      <c r="D66" s="7"/>
    </row>
    <row r="67" customFormat="false" ht="15" hidden="false" customHeight="false" outlineLevel="0" collapsed="false">
      <c r="A67" s="21" t="s">
        <v>74</v>
      </c>
    </row>
    <row r="69" customFormat="false" ht="15" hidden="false" customHeight="false" outlineLevel="0" collapsed="false">
      <c r="A69" s="11" t="s">
        <v>75</v>
      </c>
    </row>
    <row r="70" customFormat="false" ht="15" hidden="false" customHeight="false" outlineLevel="0" collapsed="false">
      <c r="A70" s="7" t="s">
        <v>76</v>
      </c>
      <c r="B70" s="22" t="n">
        <v>0.794</v>
      </c>
    </row>
    <row r="71" customFormat="false" ht="15" hidden="false" customHeight="false" outlineLevel="0" collapsed="false">
      <c r="A71" s="7" t="s">
        <v>77</v>
      </c>
      <c r="B71" s="22" t="n">
        <v>0.35</v>
      </c>
      <c r="E71" s="21" t="s">
        <v>78</v>
      </c>
    </row>
    <row r="72" customFormat="false" ht="15" hidden="false" customHeight="false" outlineLevel="0" collapsed="false">
      <c r="A72" s="23" t="s">
        <v>79</v>
      </c>
      <c r="B72" s="24" t="n">
        <f aca="false">B63*B70*B71</f>
        <v>183840.7048898</v>
      </c>
    </row>
    <row r="74" customFormat="false" ht="15" hidden="false" customHeight="false" outlineLevel="0" collapsed="false">
      <c r="A74" s="11" t="s">
        <v>80</v>
      </c>
    </row>
    <row r="75" customFormat="false" ht="15" hidden="false" customHeight="false" outlineLevel="0" collapsed="false">
      <c r="A75" s="23" t="s">
        <v>81</v>
      </c>
      <c r="B75" s="24" t="n">
        <f aca="false">B61+B62+B63-B72</f>
        <v>1985090.4651102</v>
      </c>
    </row>
    <row r="76" customFormat="false" ht="15" hidden="false" customHeight="false" outlineLevel="0" collapsed="false">
      <c r="A76" s="7" t="s">
        <v>82</v>
      </c>
      <c r="B76" s="18" t="n">
        <f aca="false">1-B75/2458369.67</f>
        <v>0.192517508926882</v>
      </c>
    </row>
    <row r="77" customFormat="false" ht="15" hidden="false" customHeight="false" outlineLevel="0" collapsed="false">
      <c r="A77" s="23" t="s">
        <v>83</v>
      </c>
      <c r="B77" s="24" t="n">
        <f aca="false">B75+B65</f>
        <v>2042978.1651102</v>
      </c>
    </row>
    <row r="78" customFormat="false" ht="15" hidden="false" customHeight="false" outlineLevel="0" collapsed="false">
      <c r="A78" s="7" t="s">
        <v>84</v>
      </c>
      <c r="B78" s="18" t="n">
        <f aca="false">1-B77/2458369.67</f>
        <v>0.168970317995259</v>
      </c>
    </row>
    <row r="80" customFormat="false" ht="15" hidden="false" customHeight="false" outlineLevel="0" collapsed="false">
      <c r="A80" s="11" t="s">
        <v>85</v>
      </c>
    </row>
    <row r="81" customFormat="false" ht="15" hidden="false" customHeight="false" outlineLevel="0" collapsed="false">
      <c r="A81" s="12" t="s">
        <v>86</v>
      </c>
      <c r="B81" s="12" t="s">
        <v>87</v>
      </c>
      <c r="C81" s="12" t="s">
        <v>88</v>
      </c>
      <c r="D81" s="12" t="s">
        <v>89</v>
      </c>
      <c r="E81" s="12" t="s">
        <v>90</v>
      </c>
      <c r="F81" s="12" t="s">
        <v>91</v>
      </c>
    </row>
    <row r="82" customFormat="false" ht="15" hidden="false" customHeight="false" outlineLevel="0" collapsed="false">
      <c r="A82" s="25" t="n">
        <v>0</v>
      </c>
      <c r="B82" s="26" t="n">
        <v>2999211</v>
      </c>
      <c r="C82" s="26" t="n">
        <f aca="false">B82/1.22</f>
        <v>2458369.67213115</v>
      </c>
      <c r="D82" s="26" t="n">
        <f aca="false">$B$75</f>
        <v>1985090.4651102</v>
      </c>
      <c r="E82" s="26" t="n">
        <f aca="false">C82-D82</f>
        <v>473279.207020948</v>
      </c>
      <c r="F82" s="27" t="str">
        <f aca="false">IF(E82&gt;=0,"безопасно","ДЕФИЦИТ")</f>
        <v>безопасно</v>
      </c>
    </row>
    <row r="83" customFormat="false" ht="15" hidden="false" customHeight="false" outlineLevel="0" collapsed="false">
      <c r="A83" s="25" t="n">
        <v>0.05</v>
      </c>
      <c r="B83" s="26" t="n">
        <v>2849250.45</v>
      </c>
      <c r="C83" s="26" t="n">
        <f aca="false">B83/1.22</f>
        <v>2335451.18852459</v>
      </c>
      <c r="D83" s="26" t="n">
        <f aca="false">$B$75</f>
        <v>1985090.4651102</v>
      </c>
      <c r="E83" s="26" t="n">
        <f aca="false">C83-D83</f>
        <v>350360.72341439</v>
      </c>
      <c r="F83" s="27" t="str">
        <f aca="false">IF(E83&gt;=0,"безопасно","ДЕФИЦИТ")</f>
        <v>безопасно</v>
      </c>
    </row>
    <row r="84" customFormat="false" ht="15" hidden="false" customHeight="false" outlineLevel="0" collapsed="false">
      <c r="A84" s="25" t="n">
        <v>0.1</v>
      </c>
      <c r="B84" s="26" t="n">
        <v>2699289.9</v>
      </c>
      <c r="C84" s="26" t="n">
        <f aca="false">B84/1.22</f>
        <v>2212532.70491803</v>
      </c>
      <c r="D84" s="26" t="n">
        <f aca="false">$B$75</f>
        <v>1985090.4651102</v>
      </c>
      <c r="E84" s="26" t="n">
        <f aca="false">C84-D84</f>
        <v>227442.239807833</v>
      </c>
      <c r="F84" s="27" t="str">
        <f aca="false">IF(E84&gt;=0,"безопасно","ДЕФИЦИТ")</f>
        <v>безопасно</v>
      </c>
    </row>
    <row r="85" customFormat="false" ht="15" hidden="false" customHeight="false" outlineLevel="0" collapsed="false">
      <c r="A85" s="25" t="n">
        <v>0.15</v>
      </c>
      <c r="B85" s="26" t="n">
        <v>2549329.35</v>
      </c>
      <c r="C85" s="26" t="n">
        <f aca="false">B85/1.22</f>
        <v>2089614.22131148</v>
      </c>
      <c r="D85" s="26" t="n">
        <f aca="false">$B$75</f>
        <v>1985090.4651102</v>
      </c>
      <c r="E85" s="26" t="n">
        <f aca="false">C85-D85</f>
        <v>104523.756201276</v>
      </c>
      <c r="F85" s="27" t="str">
        <f aca="false">IF(E85&gt;=0,"безопасно","ДЕФИЦИТ")</f>
        <v>безопасно</v>
      </c>
    </row>
    <row r="86" customFormat="false" ht="15" hidden="false" customHeight="false" outlineLevel="0" collapsed="false">
      <c r="A86" s="25" t="n">
        <v>0.1925</v>
      </c>
      <c r="B86" s="26" t="n">
        <v>2421862.8825</v>
      </c>
      <c r="C86" s="26" t="n">
        <f aca="false">B86/1.22</f>
        <v>1985133.5102459</v>
      </c>
      <c r="D86" s="26" t="n">
        <f aca="false">$B$75</f>
        <v>1985090.4651102</v>
      </c>
      <c r="E86" s="26" t="n">
        <f aca="false">C86-D86</f>
        <v>43.0451357015409</v>
      </c>
      <c r="F86" s="27" t="str">
        <f aca="false">IF(E86&gt;=0,"безопасно","ДЕФИЦИТ")</f>
        <v>безопасно</v>
      </c>
    </row>
    <row r="87" customFormat="false" ht="15" hidden="false" customHeight="false" outlineLevel="0" collapsed="false">
      <c r="A87" s="28" t="n">
        <v>0.2</v>
      </c>
      <c r="B87" s="29" t="n">
        <v>2399368.8</v>
      </c>
      <c r="C87" s="29" t="n">
        <f aca="false">B87/1.22</f>
        <v>1966695.73770492</v>
      </c>
      <c r="D87" s="29" t="n">
        <f aca="false">$B$75</f>
        <v>1985090.4651102</v>
      </c>
      <c r="E87" s="29" t="n">
        <f aca="false">C87-D87</f>
        <v>-18394.727405282</v>
      </c>
      <c r="F87" s="30" t="str">
        <f aca="false">IF(E87&gt;=0,"безопасно","ДЕФИЦИТ")</f>
        <v>ДЕФИЦИТ</v>
      </c>
    </row>
    <row r="88" customFormat="false" ht="15" hidden="false" customHeight="false" outlineLevel="0" collapsed="false">
      <c r="A88" s="28" t="n">
        <v>0.25</v>
      </c>
      <c r="B88" s="29" t="n">
        <v>2249408.25</v>
      </c>
      <c r="C88" s="29" t="n">
        <f aca="false">B88/1.22</f>
        <v>1843777.25409836</v>
      </c>
      <c r="D88" s="29" t="n">
        <f aca="false">$B$75</f>
        <v>1985090.4651102</v>
      </c>
      <c r="E88" s="29" t="n">
        <f aca="false">C88-D88</f>
        <v>-141313.211011839</v>
      </c>
      <c r="F88" s="30" t="str">
        <f aca="false">IF(E88&gt;=0,"безопасно","ДЕФИЦИТ")</f>
        <v>ДЕФИЦИТ</v>
      </c>
    </row>
    <row r="89" customFormat="false" ht="15" hidden="false" customHeight="false" outlineLevel="0" collapsed="false">
      <c r="A89" s="28" t="n">
        <v>0.3</v>
      </c>
      <c r="B89" s="29" t="n">
        <v>2099447.7</v>
      </c>
      <c r="C89" s="29" t="n">
        <f aca="false">B89/1.22</f>
        <v>1720858.7704918</v>
      </c>
      <c r="D89" s="29" t="n">
        <f aca="false">$B$75</f>
        <v>1985090.4651102</v>
      </c>
      <c r="E89" s="29" t="n">
        <f aca="false">C89-D89</f>
        <v>-264231.694618396</v>
      </c>
      <c r="F89" s="30" t="str">
        <f aca="false">IF(E89&gt;=0,"безопасно","ДЕФИЦИТ")</f>
        <v>ДЕФИЦИТ</v>
      </c>
    </row>
    <row r="90" customFormat="false" ht="15" hidden="false" customHeight="false" outlineLevel="0" collapsed="false">
      <c r="A90" s="28" t="n">
        <v>0.35</v>
      </c>
      <c r="B90" s="29" t="n">
        <v>1949487.15</v>
      </c>
      <c r="C90" s="29" t="n">
        <f aca="false">B90/1.22</f>
        <v>1597940.28688525</v>
      </c>
      <c r="D90" s="29" t="n">
        <f aca="false">$B$75</f>
        <v>1985090.4651102</v>
      </c>
      <c r="E90" s="29" t="n">
        <f aca="false">C90-D90</f>
        <v>-387150.178224954</v>
      </c>
      <c r="F90" s="30" t="str">
        <f aca="false">IF(E90&gt;=0,"безопасно","ДЕФИЦИТ")</f>
        <v>ДЕФИЦИТ</v>
      </c>
    </row>
    <row r="92" customFormat="false" ht="15" hidden="false" customHeight="false" outlineLevel="0" collapsed="false">
      <c r="A92" s="31" t="s">
        <v>92</v>
      </c>
      <c r="B92" s="31"/>
      <c r="C92" s="31"/>
      <c r="D92" s="31"/>
      <c r="E92" s="31"/>
      <c r="F92" s="31"/>
    </row>
  </sheetData>
  <mergeCells count="1">
    <mergeCell ref="A92:F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2026-09-21T11:08:50Z</dcterms:created>
  <dc:creator>openpyxl</dc:creator>
  <dc:description/>
  <dc:language>en-US</dc:language>
  <cp:lastModifiedBy/>
  <dcterms:modified xsi:type="dcterms:W3CDTF">2026-09-21T11:09:16Z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