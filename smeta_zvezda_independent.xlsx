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<sst xmlns="http://schemas.openxmlformats.org/spreadsheetml/2006/main" count="69" uniqueCount="60">
  <si>
    <t xml:space="preserve">Независимая смета — КТК «Главкино» (Киностудия ЗВЕЗДА / СпецЭкоСервис)</t>
  </si>
  <si>
    <t xml:space="preserve">Дата: 2026-09-23 | Площадь/штат — реальные данные из договора; ставки/нормы — наша база знаний</t>
  </si>
  <si>
    <t xml:space="preserve">Жёлтые ячейки — допущения</t>
  </si>
  <si>
    <t xml:space="preserve">1. Срок контракта и площадь</t>
  </si>
  <si>
    <t xml:space="preserve">Срок оказания услуг, мес</t>
  </si>
  <si>
    <t xml:space="preserve">Площадь комплексной+поддерживающей уборки (этажи 1-4), м²</t>
  </si>
  <si>
    <t xml:space="preserve">Площадь по заявкам (вспом.помещения, тех.этаж, павильоны, склады), м²</t>
  </si>
  <si>
    <t xml:space="preserve">Территория (асфальт/брусчатка), м²</t>
  </si>
  <si>
    <t xml:space="preserve">Газоны, м²</t>
  </si>
  <si>
    <t xml:space="preserve">2. Численность и ФОТ (реальное штатное расписание)</t>
  </si>
  <si>
    <t xml:space="preserve">Должность</t>
  </si>
  <si>
    <t xml:space="preserve">Чел.</t>
  </si>
  <si>
    <t xml:space="preserve">Ставка, ₽/мес (наша база)</t>
  </si>
  <si>
    <t xml:space="preserve">Сумма, ₽</t>
  </si>
  <si>
    <t xml:space="preserve">Уборщик помещений (наша средняя ставка) (3 (7-8ч) + 5 (8-19ч) + 2 (19-20ч))</t>
  </si>
  <si>
    <t xml:space="preserve">Дворник / Уборщик территории (круглогодично)</t>
  </si>
  <si>
    <t xml:space="preserve">ФОТ/мес (круглогодичный штат)</t>
  </si>
  <si>
    <t xml:space="preserve">ФОТ-надбавка 30,2% (обязательна)</t>
  </si>
  <si>
    <t xml:space="preserve">Тракторист-механизатор (01.11-31.03, ОЦЕНКА ставки — нет в нашей базе)</t>
  </si>
  <si>
    <t xml:space="preserve">ФОТ тракториста за контракт (5 зимних месяцев)</t>
  </si>
  <si>
    <t xml:space="preserve">3. Расходные материалы (резолвер + механизированная норма + коррекция ×1/7)</t>
  </si>
  <si>
    <t xml:space="preserve">Материал</t>
  </si>
  <si>
    <t xml:space="preserve">Найдено в прайсе</t>
  </si>
  <si>
    <t xml:space="preserve">Поставщик</t>
  </si>
  <si>
    <t xml:space="preserve">Упаковок</t>
  </si>
  <si>
    <t xml:space="preserve">Цена/уп, ₽</t>
  </si>
  <si>
    <t xml:space="preserve">Сумма/мес, ₽</t>
  </si>
  <si>
    <t xml:space="preserve">Пакеты для мусора — крупные (для транс (26 шт)</t>
  </si>
  <si>
    <t xml:space="preserve">Мешки для мусора 35 л 20 ш (c0.67)</t>
  </si>
  <si>
    <t xml:space="preserve">ТК Сервис</t>
  </si>
  <si>
    <t xml:space="preserve">Пакеты для мусора — мелкие (для внутре (3071.71 шт)</t>
  </si>
  <si>
    <t xml:space="preserve">Мешки для мусора с тесьмой (c0.66)</t>
  </si>
  <si>
    <t xml:space="preserve">Чистящее средство для унитаза (43.0 л)</t>
  </si>
  <si>
    <t xml:space="preserve">Effect ALFA 106  5л чистящ (c0.76)</t>
  </si>
  <si>
    <t xml:space="preserve">Чистящее средство для сантехники (32.24 л)</t>
  </si>
  <si>
    <t xml:space="preserve">Effect ALFA 106  5л чистящ (c0.71)</t>
  </si>
  <si>
    <t xml:space="preserve">Дезинфицирующее средство для твёрдых п (8.86 л)</t>
  </si>
  <si>
    <t xml:space="preserve">Klinin KLORIITTI FORTE 5 л (c0.73)</t>
  </si>
  <si>
    <t xml:space="preserve">Чистящее средство для интерьера (230.36 л)</t>
  </si>
  <si>
    <t xml:space="preserve">Effect ALFA 106  5л чистящ (c0.74)</t>
  </si>
  <si>
    <t xml:space="preserve">Чистящее средство для оргтехники (0.29 л)</t>
  </si>
  <si>
    <t xml:space="preserve">Средство для мойки стёкол и зеркал (0.21 л)</t>
  </si>
  <si>
    <t xml:space="preserve">AVUAR H-15 5л средство для (c0.82)</t>
  </si>
  <si>
    <t xml:space="preserve">Салфетки универсальные (микрофибра) (65 шт)</t>
  </si>
  <si>
    <t xml:space="preserve">Салфетка микроволоконная ( (c0.87)</t>
  </si>
  <si>
    <t xml:space="preserve">Альмин Провижн Сервис</t>
  </si>
  <si>
    <t xml:space="preserve">Моющее средство для полов — МЕХАНИЗИРО (161.2 л)</t>
  </si>
  <si>
    <t xml:space="preserve">АиС D202 Моющее средство д (c0.74)</t>
  </si>
  <si>
    <t xml:space="preserve">ИТОГО материалы/мес</t>
  </si>
  <si>
    <t xml:space="preserve">Считано по внутренней площади (комплексная+по заявке = 20 672,6 м²), без территории/газонов.</t>
  </si>
  <si>
    <t xml:space="preserve">4. Оборудование (список из договора — разовая закупка, не в себестоимости/мес)</t>
  </si>
  <si>
    <t xml:space="preserve">Тележки×6, швабры×6, пылесос×1, поломоечная машина аккум.×1 (до 4000 м²/заряд), тачки садовые×3, лопаты/движки/ледорубы (комплект), ручной инвентарь (комплект), газонокосилки×2, триммеры×3, снегоуборщик самоходный×1, трактор с отвалом+щёткой×1 (ноя-мар). Не пересчитано детально в этой смете.</t>
  </si>
  <si>
    <t xml:space="preserve">5. Территория — справочно (не включена в смету)</t>
  </si>
  <si>
    <t xml:space="preserve">20 299 м² асфальт/брусчатка + 17 780 м² газонов — периодичность и нормы для этого масштаба не откалиброваны так же подробно, как для помещений. Дворники (5 чел.) уже учтены в ФОТ выше — повторно не добавляются.</t>
  </si>
  <si>
    <t xml:space="preserve">6. ИТОГО СЕБЕСТОИМОСТЬ В МЕСЯЦ (без НДС, без оборудования/территории отдельно)</t>
  </si>
  <si>
    <t xml:space="preserve">ИТОГО за контракт (12 мес, круглогодичная часть + зимний тракторист)</t>
  </si>
  <si>
    <t xml:space="preserve">Справочно (не источник для расчёта — только сверка):</t>
  </si>
  <si>
    <t xml:space="preserve">Реальная цена по договору за весь срок (с НДС 5%)</t>
  </si>
  <si>
    <t xml:space="preserve">Реальная цена в месяц (для сравнения)</t>
  </si>
  <si>
    <t xml:space="preserve">Разница нашей оценки (за контракт) и реальной цены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</si>
</sst>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₽&quot;;\(#,##0.00&quot; ₽)&quot;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  <c r="B7" s="5" t="n">
        <v>12</v>
      </c>
    </row>
    <row r="8" customFormat="false" ht="15" hidden="false" customHeight="false" outlineLevel="0" collapsed="false">
      <c r="A8" s="5" t="s">
        <v>5</v>
      </c>
      <c r="B8" s="5" t="n">
        <v>5456.6</v>
      </c>
    </row>
    <row r="9" customFormat="false" ht="15" hidden="false" customHeight="false" outlineLevel="0" collapsed="false">
      <c r="A9" s="5" t="s">
        <v>6</v>
      </c>
      <c r="B9" s="5" t="n">
        <v>15216</v>
      </c>
    </row>
    <row r="10" customFormat="false" ht="15" hidden="false" customHeight="false" outlineLevel="0" collapsed="false">
      <c r="A10" s="5" t="s">
        <v>7</v>
      </c>
      <c r="B10" s="5" t="n">
        <v>20299</v>
      </c>
    </row>
    <row r="11" customFormat="false" ht="15" hidden="false" customHeight="false" outlineLevel="0" collapsed="false">
      <c r="A11" s="5" t="s">
        <v>8</v>
      </c>
      <c r="B11" s="5" t="n">
        <v>17780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6" t="s">
        <v>10</v>
      </c>
      <c r="B14" s="6" t="s">
        <v>11</v>
      </c>
      <c r="C14" s="6" t="s">
        <v>12</v>
      </c>
      <c r="D14" s="6" t="s">
        <v>13</v>
      </c>
    </row>
    <row r="15" customFormat="false" ht="15" hidden="false" customHeight="false" outlineLevel="0" collapsed="false">
      <c r="A15" s="7" t="s">
        <v>14</v>
      </c>
      <c r="B15" s="7" t="n">
        <v>10</v>
      </c>
      <c r="C15" s="8" t="n">
        <v>52500</v>
      </c>
      <c r="D15" s="9" t="n">
        <f aca="false">B15*C15</f>
        <v>525000</v>
      </c>
    </row>
    <row r="16" customFormat="false" ht="15" hidden="false" customHeight="false" outlineLevel="0" collapsed="false">
      <c r="A16" s="7" t="s">
        <v>15</v>
      </c>
      <c r="B16" s="7" t="n">
        <v>5</v>
      </c>
      <c r="C16" s="8" t="n">
        <v>82500</v>
      </c>
      <c r="D16" s="9" t="n">
        <f aca="false">B16*C16</f>
        <v>412500</v>
      </c>
    </row>
    <row r="17" customFormat="false" ht="15" hidden="false" customHeight="false" outlineLevel="0" collapsed="false">
      <c r="A17" s="10" t="s">
        <v>16</v>
      </c>
      <c r="B17" s="5"/>
      <c r="C17" s="5"/>
      <c r="D17" s="11" t="n">
        <f aca="false">SUM(D15:D16)</f>
        <v>937500</v>
      </c>
    </row>
    <row r="18" customFormat="false" ht="15" hidden="false" customHeight="false" outlineLevel="0" collapsed="false">
      <c r="A18" s="5" t="s">
        <v>17</v>
      </c>
      <c r="B18" s="5"/>
      <c r="C18" s="5"/>
      <c r="D18" s="12" t="n">
        <f aca="false">D17*0.302</f>
        <v>283125</v>
      </c>
    </row>
    <row r="19" customFormat="false" ht="15" hidden="false" customHeight="false" outlineLevel="0" collapsed="false">
      <c r="A19" s="7" t="s">
        <v>18</v>
      </c>
      <c r="B19" s="7" t="n">
        <v>1</v>
      </c>
      <c r="C19" s="8" t="n">
        <v>95000</v>
      </c>
      <c r="D19" s="9" t="n">
        <f aca="false">B19*C19</f>
        <v>95000</v>
      </c>
    </row>
    <row r="20" customFormat="false" ht="15" hidden="false" customHeight="false" outlineLevel="0" collapsed="false">
      <c r="A20" s="5" t="s">
        <v>19</v>
      </c>
      <c r="B20" s="5"/>
      <c r="C20" s="5"/>
      <c r="D20" s="12" t="n">
        <f aca="false">D19*5</f>
        <v>475000</v>
      </c>
    </row>
    <row r="22" customFormat="false" ht="15" hidden="false" customHeight="false" outlineLevel="0" collapsed="false">
      <c r="A22" s="4" t="s">
        <v>20</v>
      </c>
    </row>
    <row r="23" customFormat="false" ht="15" hidden="false" customHeight="false" outlineLevel="0" collapsed="false">
      <c r="A23" s="6" t="s">
        <v>21</v>
      </c>
      <c r="B23" s="6" t="s">
        <v>22</v>
      </c>
      <c r="C23" s="6" t="s">
        <v>23</v>
      </c>
      <c r="D23" s="6" t="s">
        <v>24</v>
      </c>
      <c r="E23" s="6" t="s">
        <v>25</v>
      </c>
      <c r="F23" s="6" t="s">
        <v>26</v>
      </c>
    </row>
    <row r="24" customFormat="false" ht="15" hidden="false" customHeight="false" outlineLevel="0" collapsed="false">
      <c r="A24" s="5" t="s">
        <v>27</v>
      </c>
      <c r="B24" s="7" t="s">
        <v>28</v>
      </c>
      <c r="C24" s="7" t="s">
        <v>29</v>
      </c>
      <c r="D24" s="7" t="n">
        <v>2</v>
      </c>
      <c r="E24" s="9" t="n">
        <v>67.68</v>
      </c>
      <c r="F24" s="9" t="n">
        <f aca="false">D24*E24</f>
        <v>135.36</v>
      </c>
    </row>
    <row r="25" customFormat="false" ht="15" hidden="false" customHeight="false" outlineLevel="0" collapsed="false">
      <c r="A25" s="5" t="s">
        <v>30</v>
      </c>
      <c r="B25" s="7" t="s">
        <v>31</v>
      </c>
      <c r="C25" s="7" t="s">
        <v>29</v>
      </c>
      <c r="D25" s="7" t="n">
        <v>154</v>
      </c>
      <c r="E25" s="9" t="n">
        <v>104.88</v>
      </c>
      <c r="F25" s="9" t="n">
        <f aca="false">D25*E25</f>
        <v>16151.52</v>
      </c>
    </row>
    <row r="26" customFormat="false" ht="15" hidden="false" customHeight="false" outlineLevel="0" collapsed="false">
      <c r="A26" s="5" t="s">
        <v>32</v>
      </c>
      <c r="B26" s="7" t="s">
        <v>33</v>
      </c>
      <c r="C26" s="7" t="s">
        <v>29</v>
      </c>
      <c r="D26" s="7" t="n">
        <v>9</v>
      </c>
      <c r="E26" s="9" t="n">
        <v>475.41</v>
      </c>
      <c r="F26" s="9" t="n">
        <f aca="false">D26*E26</f>
        <v>4278.69</v>
      </c>
    </row>
    <row r="27" customFormat="false" ht="15" hidden="false" customHeight="false" outlineLevel="0" collapsed="false">
      <c r="A27" s="5" t="s">
        <v>34</v>
      </c>
      <c r="B27" s="7" t="s">
        <v>35</v>
      </c>
      <c r="C27" s="7" t="s">
        <v>29</v>
      </c>
      <c r="D27" s="7" t="n">
        <v>7</v>
      </c>
      <c r="E27" s="9" t="n">
        <v>475.41</v>
      </c>
      <c r="F27" s="9" t="n">
        <f aca="false">D27*E27</f>
        <v>3327.87</v>
      </c>
    </row>
    <row r="28" customFormat="false" ht="15" hidden="false" customHeight="false" outlineLevel="0" collapsed="false">
      <c r="A28" s="5" t="s">
        <v>36</v>
      </c>
      <c r="B28" s="7" t="s">
        <v>37</v>
      </c>
      <c r="C28" s="7" t="s">
        <v>29</v>
      </c>
      <c r="D28" s="7" t="n">
        <v>2</v>
      </c>
      <c r="E28" s="9" t="n">
        <v>1423.38</v>
      </c>
      <c r="F28" s="9" t="n">
        <f aca="false">D28*E28</f>
        <v>2846.76</v>
      </c>
    </row>
    <row r="29" customFormat="false" ht="15" hidden="false" customHeight="false" outlineLevel="0" collapsed="false">
      <c r="A29" s="5" t="s">
        <v>38</v>
      </c>
      <c r="B29" s="7" t="s">
        <v>39</v>
      </c>
      <c r="C29" s="7" t="s">
        <v>29</v>
      </c>
      <c r="D29" s="7" t="n">
        <v>47</v>
      </c>
      <c r="E29" s="9" t="n">
        <v>475.41</v>
      </c>
      <c r="F29" s="9" t="n">
        <f aca="false">D29*E29</f>
        <v>22344.27</v>
      </c>
    </row>
    <row r="30" customFormat="false" ht="15" hidden="false" customHeight="false" outlineLevel="0" collapsed="false">
      <c r="A30" s="5" t="s">
        <v>40</v>
      </c>
      <c r="B30" s="7" t="s">
        <v>35</v>
      </c>
      <c r="C30" s="7" t="s">
        <v>29</v>
      </c>
      <c r="D30" s="7" t="n">
        <v>1</v>
      </c>
      <c r="E30" s="9" t="n">
        <v>475.41</v>
      </c>
      <c r="F30" s="9" t="n">
        <f aca="false">D30*E30</f>
        <v>475.41</v>
      </c>
    </row>
    <row r="31" customFormat="false" ht="15" hidden="false" customHeight="false" outlineLevel="0" collapsed="false">
      <c r="A31" s="5" t="s">
        <v>41</v>
      </c>
      <c r="B31" s="7" t="s">
        <v>42</v>
      </c>
      <c r="C31" s="7" t="s">
        <v>29</v>
      </c>
      <c r="D31" s="7" t="n">
        <v>1</v>
      </c>
      <c r="E31" s="9" t="n">
        <v>361.89</v>
      </c>
      <c r="F31" s="9" t="n">
        <f aca="false">D31*E31</f>
        <v>361.89</v>
      </c>
    </row>
    <row r="32" customFormat="false" ht="15" hidden="false" customHeight="false" outlineLevel="0" collapsed="false">
      <c r="A32" s="5" t="s">
        <v>43</v>
      </c>
      <c r="B32" s="7" t="s">
        <v>44</v>
      </c>
      <c r="C32" s="7" t="s">
        <v>45</v>
      </c>
      <c r="D32" s="7" t="n">
        <v>65</v>
      </c>
      <c r="E32" s="9" t="n">
        <v>18.94</v>
      </c>
      <c r="F32" s="9" t="n">
        <f aca="false">D32*E32</f>
        <v>1231.1</v>
      </c>
    </row>
    <row r="33" customFormat="false" ht="15" hidden="false" customHeight="false" outlineLevel="0" collapsed="false">
      <c r="A33" s="5" t="s">
        <v>46</v>
      </c>
      <c r="B33" s="7" t="s">
        <v>47</v>
      </c>
      <c r="C33" s="7" t="s">
        <v>29</v>
      </c>
      <c r="D33" s="7" t="n">
        <v>33</v>
      </c>
      <c r="E33" s="9" t="n">
        <v>614</v>
      </c>
      <c r="F33" s="9" t="n">
        <f aca="false">D33*E33</f>
        <v>20262</v>
      </c>
    </row>
    <row r="34" customFormat="false" ht="15" hidden="false" customHeight="false" outlineLevel="0" collapsed="false">
      <c r="A34" s="13" t="s">
        <v>48</v>
      </c>
      <c r="F34" s="14" t="n">
        <f aca="false">SUM(F24:F33)</f>
        <v>71414.87</v>
      </c>
    </row>
    <row r="35" customFormat="false" ht="15" hidden="false" customHeight="false" outlineLevel="0" collapsed="false">
      <c r="A35" s="15" t="s">
        <v>49</v>
      </c>
      <c r="B35" s="15"/>
      <c r="C35" s="15"/>
      <c r="D35" s="15"/>
      <c r="E35" s="15"/>
      <c r="F35" s="15"/>
    </row>
    <row r="37" customFormat="false" ht="15" hidden="false" customHeight="false" outlineLevel="0" collapsed="false">
      <c r="A37" s="4" t="s">
        <v>50</v>
      </c>
    </row>
    <row r="38" customFormat="false" ht="15" hidden="false" customHeight="false" outlineLevel="0" collapsed="false">
      <c r="A38" s="15" t="s">
        <v>51</v>
      </c>
      <c r="B38" s="15"/>
      <c r="C38" s="15"/>
      <c r="D38" s="15"/>
      <c r="E38" s="15"/>
      <c r="F38" s="15"/>
    </row>
    <row r="40" customFormat="false" ht="15" hidden="false" customHeight="false" outlineLevel="0" collapsed="false">
      <c r="A40" s="4" t="s">
        <v>52</v>
      </c>
    </row>
    <row r="41" customFormat="false" ht="15" hidden="false" customHeight="false" outlineLevel="0" collapsed="false">
      <c r="A41" s="15" t="s">
        <v>53</v>
      </c>
      <c r="B41" s="15"/>
      <c r="C41" s="15"/>
      <c r="D41" s="15"/>
      <c r="E41" s="15"/>
      <c r="F41" s="15"/>
    </row>
    <row r="43" customFormat="false" ht="16.15" hidden="false" customHeight="false" outlineLevel="0" collapsed="false">
      <c r="A43" s="16" t="s">
        <v>54</v>
      </c>
      <c r="B43" s="17" t="n">
        <f aca="false">D17+D18+F34</f>
        <v>1292039.87</v>
      </c>
    </row>
    <row r="44" customFormat="false" ht="16.15" hidden="false" customHeight="false" outlineLevel="0" collapsed="false">
      <c r="A44" s="16" t="s">
        <v>55</v>
      </c>
      <c r="B44" s="17" t="n">
        <f aca="false">B43*12+D20</f>
        <v>15979478.44</v>
      </c>
    </row>
    <row r="46" customFormat="false" ht="15" hidden="false" customHeight="false" outlineLevel="0" collapsed="false">
      <c r="A46" s="2" t="s">
        <v>56</v>
      </c>
    </row>
    <row r="47" customFormat="false" ht="15" hidden="false" customHeight="false" outlineLevel="0" collapsed="false">
      <c r="A47" s="0" t="s">
        <v>57</v>
      </c>
      <c r="B47" s="18" t="n">
        <v>23299999.92</v>
      </c>
    </row>
    <row r="48" customFormat="false" ht="15" hidden="false" customHeight="false" outlineLevel="0" collapsed="false">
      <c r="A48" s="0" t="s">
        <v>58</v>
      </c>
      <c r="B48" s="18" t="n">
        <v>1941666.66</v>
      </c>
    </row>
    <row r="49" customFormat="false" ht="15" hidden="false" customHeight="false" outlineLevel="0" collapsed="false">
      <c r="A49" s="0" t="s">
        <v>59</v>
      </c>
      <c r="B49" s="18" t="n">
        <f aca="false">B44-23299999.92</f>
        <v>-7320521.48</v>
      </c>
    </row>
  </sheetData>
  <mergeCells count="3">
    <mergeCell ref="A35:F35"/>
    <mergeCell ref="A38:F38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2026-09-23T09:12:43Z</dcterms:created>
  <dc:creator>openpyxl</dc:creator>
  <dc:description/>
  <dc:language>en-US</dc:language>
  <cp:lastModifiedBy/>
  <dcterms:modified xsi:type="dcterms:W3CDTF">2026-09-23T09:12:43Z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