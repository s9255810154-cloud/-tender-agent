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Альтернатив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<sst xmlns="http://schemas.openxmlformats.org/spreadsheetml/2006/main" count="260" uniqueCount="125">
  <si>
    <t xml:space="preserve">Смета — Оказание услуг по уборке помещений в 2026-2029 годах — Москва, Большой Головин переулок, 15</t>
  </si>
  <si>
    <t xml:space="preserve">Регион: Москва</t>
  </si>
  <si>
    <t xml:space="preserve">Дата формирования: 2026-09-17</t>
  </si>
  <si>
    <t xml:space="preserve">Тендер: Техническое_задание_17204828-1.pdf</t>
  </si>
  <si>
    <t xml:space="preserve">Жёлтые ячейки — ввод/проверка экспертом</t>
  </si>
  <si>
    <t xml:space="preserve">Розовые ячейки — низкая уверенность сопоставления, нужна проверка</t>
  </si>
  <si>
    <t xml:space="preserve">1. Трудозатраты</t>
  </si>
  <si>
    <t xml:space="preserve">Оклад, руб/мес (проверить по региону/сложности)</t>
  </si>
  <si>
    <t xml:space="preserve">Численность — оценка по площади объекта</t>
  </si>
  <si>
    <t xml:space="preserve">Численность — оценка по графику/часам</t>
  </si>
  <si>
    <t xml:space="preserve">Численность — принято к расчёту (подтвердить!)</t>
  </si>
  <si>
    <t xml:space="preserve">Срок контракта, мес</t>
  </si>
  <si>
    <t xml:space="preserve">Итого ФОТ за весь срок контракта</t>
  </si>
  <si>
    <t xml:space="preserve">2. Расходные материалы</t>
  </si>
  <si>
    <t xml:space="preserve">Позиция ТЗ</t>
  </si>
  <si>
    <t xml:space="preserve">Потребность (натур.)</t>
  </si>
  <si>
    <t xml:space="preserve">Ед.</t>
  </si>
  <si>
    <t xml:space="preserve">Найдено в прайсе</t>
  </si>
  <si>
    <t xml:space="preserve">Поставщик</t>
  </si>
  <si>
    <t xml:space="preserve">Цена за упаковку, ₽</t>
  </si>
  <si>
    <t xml:space="preserve">Упаковок к заказу</t>
  </si>
  <si>
    <t xml:space="preserve">Сумма, ₽</t>
  </si>
  <si>
    <t xml:space="preserve">Confidence</t>
  </si>
  <si>
    <t xml:space="preserve">Проверка</t>
  </si>
  <si>
    <t xml:space="preserve">Пакеты для мусора. Объём 120 л. Размер 70x110 см. Материал ПВД. Плотность 50 мкм</t>
  </si>
  <si>
    <t xml:space="preserve">шт</t>
  </si>
  <si>
    <t xml:space="preserve">Мешки для мусора 120 л 25мкм 10 шт/рул. черные 67х100см ПВД "ЭКО" 1/30 КБ</t>
  </si>
  <si>
    <t xml:space="preserve">Поставщик 2 (уточнить название)</t>
  </si>
  <si>
    <t xml:space="preserve">альтернатив: 7</t>
  </si>
  <si>
    <t xml:space="preserve">Пакеты для мусора. Объём 30 л. Размер 48x57 см. Материал ПНД. Плотность 7 мкм. Цвет чёрный</t>
  </si>
  <si>
    <t xml:space="preserve">УИ-090618al, Мешок (пакет) мусорный 480х570 мм 30 л 30 шт ЭКОНОМ 7 мкм рулон ЧЕРНЫЙ ПНД "ALMIN" 1/50</t>
  </si>
  <si>
    <t xml:space="preserve">Альмин Провижн Сервис</t>
  </si>
  <si>
    <t xml:space="preserve">Моющее средство для полов и стен. Антимикробный эффект. Без хлора. Без отдушки</t>
  </si>
  <si>
    <t xml:space="preserve">л</t>
  </si>
  <si>
    <t xml:space="preserve">Средство для мытья полов "HELP"  Морской бриз 1л 1/12</t>
  </si>
  <si>
    <t xml:space="preserve">проверить совпадение; альтернатив: 5</t>
  </si>
  <si>
    <t xml:space="preserve">Чистящее средство для унитаза. С дезинфекцией</t>
  </si>
  <si>
    <t xml:space="preserve">Effect ALFA 106  5л чистящее средство Универсал 1/2 ЧЗ</t>
  </si>
  <si>
    <t xml:space="preserve">проверить совпадение; альтернатив: 6</t>
  </si>
  <si>
    <t xml:space="preserve">Чистящее средство для сантехники. Без хлора</t>
  </si>
  <si>
    <t xml:space="preserve">Средство для чистки ковров Золушка 500 мл 1/16</t>
  </si>
  <si>
    <t xml:space="preserve">проверить совпадение; альтернатив: 7</t>
  </si>
  <si>
    <t xml:space="preserve">Дезинфицирующее средство для твёрдых поверхностей, инвентаря, приборов</t>
  </si>
  <si>
    <t xml:space="preserve">Klinin KLORIITTI FORTE 5 л Дезинфицирующее средство для очистки овощей,фруктов, зелени 1/3 ЧЗ</t>
  </si>
  <si>
    <t xml:space="preserve">Чистящее средство для интерьера</t>
  </si>
  <si>
    <t xml:space="preserve">Чистящее средство для оргтехники</t>
  </si>
  <si>
    <t xml:space="preserve">Средство для мойки стёкол и зеркал</t>
  </si>
  <si>
    <t xml:space="preserve">AVUAR H-15 5л средство для стекол и зеркал  1/4 ЧЗ</t>
  </si>
  <si>
    <t xml:space="preserve">Салфетки универсальные. Материал микрофибра</t>
  </si>
  <si>
    <t xml:space="preserve">Салфетка микроволоконная (микрофибра) 290х290 мм 190 г/м2 ЗЕЛЕНАЯ без упаковки "NN" 1/50</t>
  </si>
  <si>
    <t xml:space="preserve">проверить совпадение; цена не нормализована (разные ед.изм.); альтернатив: 2</t>
  </si>
  <si>
    <t xml:space="preserve">Комплект для уборки (швабра, ведро) для влажной уборки</t>
  </si>
  <si>
    <t xml:space="preserve">Ведро с отжимом VILEDA УльтраСпин Мини 10л (комплект для уборки с красным отжимом) 1/10</t>
  </si>
  <si>
    <t xml:space="preserve">проверить совпадение; цена не нормализована (разные ед.изм.); альтернатив: 7</t>
  </si>
  <si>
    <t xml:space="preserve">Итого материалы</t>
  </si>
  <si>
    <t xml:space="preserve">3. Накладные расходы и маржа</t>
  </si>
  <si>
    <t xml:space="preserve">Наценка, % (экспертная оценка — агент не считает сам)</t>
  </si>
  <si>
    <t xml:space="preserve">ИТОГО СЕБЕСТОИМОСТЬ (ФОТ + материалы)</t>
  </si>
  <si>
    <t xml:space="preserve">ИТОГО СМЕТА (с наценкой)</t>
  </si>
  <si>
    <t xml:space="preserve">Источники сумм: B — расчёт кода (детерминированная арифметика), желтые ячейки — ввод/проверка эксперта. Смета не отправляется заказчику без подтверждения эксперта (численность, наценка, позиции без прайса).</t>
  </si>
  <si>
    <t xml:space="preserve">Кандидат</t>
  </si>
  <si>
    <t xml:space="preserve">Цена, ₽</t>
  </si>
  <si>
    <t xml:space="preserve">✓ ВЫБРАНО: Мешки для мусора 120 л 25мкм 10 шт/рул. черные 67х100см ПВД "ЭКО" 1/30 КБ</t>
  </si>
  <si>
    <t xml:space="preserve">Мешки для мусора 120 л 40мкм 10 шт/рул. черные 70х110см Удачные 1/25 КБ</t>
  </si>
  <si>
    <t xml:space="preserve">Мешки для мусора 120 л 25мкм 10 шт/рул.прозрачные 67х100 см EcoClean ПВД 1/25 КБ</t>
  </si>
  <si>
    <t xml:space="preserve">Мешки для мусора 120 л 25мкм 10 шт/рул.черные 67х100 см EcoClean ПВД 1/25 КБ</t>
  </si>
  <si>
    <t xml:space="preserve">Мешки для мусора 120 л 40мкм 25 шт/рул. черные 70х110см OptimBag 1/10 КБ</t>
  </si>
  <si>
    <t xml:space="preserve">Мешки для мусора 120 л 55мкм 20 шт/рул. черные 70х110см 1/10</t>
  </si>
  <si>
    <t xml:space="preserve">Мешки для мусора 120 л 75мкм 20 шт/рул. черные 70х110см Paclan 1/5</t>
  </si>
  <si>
    <t xml:space="preserve">Мешки для мусора 120 л 80мкм 10 шт/рул. черные 70х108см Особопрочные 1/9 КБ</t>
  </si>
  <si>
    <t xml:space="preserve">✓ ВЫБРАНО: УИ-090618al, Мешок (пакет) мусорный 480х570 мм 30 л 30 шт ЭКОНОМ 7 мкм рулон ЧЕРНЫЙ ПНД "ALMIN" 1/50</t>
  </si>
  <si>
    <t xml:space="preserve">Мешки для мусора 30 л ПНД 7мкм 50 шт/рулон черные MERIDA СТАНДАРТ 1/50</t>
  </si>
  <si>
    <t xml:space="preserve">Мешки для мусора 30 л ПНД 11мкм 20 шт/рулон черные MERIDA КОМФОРТ 1/50</t>
  </si>
  <si>
    <t xml:space="preserve">Мешки для мусора с тесьмой 30 л 14 мкм 20 шт/рул, черные Гранит 1/40 КБ</t>
  </si>
  <si>
    <t xml:space="preserve">Мешки для мусора биоразлагаемые 30 л 7 мкм 20шт/рул 50х57,5см желтый 1/45 арома</t>
  </si>
  <si>
    <t xml:space="preserve">Мешки для мусора 30 л ПНД 7мкм 50 шт/рулон белые MERIDA СТАНДАРТ 1/50</t>
  </si>
  <si>
    <t xml:space="preserve">Мешки для мусора 30 л ПНД 7мкм 50 шт/рулон синие MERIDA СТАНДАРТ 1/50</t>
  </si>
  <si>
    <t xml:space="preserve">Мешки для мусора биоразлагаемые 30 л 7 мкм 20шт/рул 50х57,5см белый 1/45 арома</t>
  </si>
  <si>
    <t xml:space="preserve">✓ ВЫБРАНО: Средство для мытья полов "HELP"  Морской бриз 1л 1/12</t>
  </si>
  <si>
    <t xml:space="preserve">АиС D202 Моющее средство для полов и интерьера 1л 1/12</t>
  </si>
  <si>
    <t xml:space="preserve">АиС D202 Моющее средство для полов и интерьера 5л 1/4 ЧЗ</t>
  </si>
  <si>
    <t xml:space="preserve">Средство для мытья полов Золушка 1л с дезинфицирующим эффектом 1/10</t>
  </si>
  <si>
    <t xml:space="preserve">Grass Arena 1 л моющее средство для полов нейтральное 1/12 ЧЗ</t>
  </si>
  <si>
    <t xml:space="preserve">Grass Arena 1 л моющее средство для полов нейтральное Лаванда 1/8 ЧЗ</t>
  </si>
  <si>
    <t xml:space="preserve">✓ ВЫБРАНО: Effect ALFA 106  5л чистящее средство Универсал 1/2 ЧЗ</t>
  </si>
  <si>
    <t xml:space="preserve">Grass Oris 600 мл Чистящее средство для кухни (антижир) с триггером 1/8 ЧЗ</t>
  </si>
  <si>
    <t xml:space="preserve">Grass Azelit pro  600 мл Чистящий средство для кухни 1/8</t>
  </si>
  <si>
    <t xml:space="preserve">Effect ALFA 106 750 мл чистящее средство Универсал 1/14 * ЧЗ</t>
  </si>
  <si>
    <t xml:space="preserve">К/ XON-forte 5л Пенное чистящее средство для печей и грилей (удаление нагара) 1/2 KIEHL</t>
  </si>
  <si>
    <t xml:space="preserve">К/ XON-forte 750мл Пенное чистящее средство для печей и грилей (удаление нагара) 1/6 KIEHL</t>
  </si>
  <si>
    <t xml:space="preserve">Grass Azelit  300 мл Чистящее средство аэрозоль 1/6</t>
  </si>
  <si>
    <t xml:space="preserve">✓ ВЫБРАНО: Средство для чистки ковров Золушка 500 мл 1/16</t>
  </si>
  <si>
    <t xml:space="preserve">TRIOCLEAN PRO 0020 5л Чистящее средство "антижир" 1/1</t>
  </si>
  <si>
    <t xml:space="preserve">Средство чистящее для сантехники (WC) 1 л ЛИМОН "ДОМЕСТОС" 1/12</t>
  </si>
  <si>
    <t xml:space="preserve">Средство чистящее для сантехники (WC) 750мл ЗОЛУШКА СВЕЖЕСТЬ "АМС" 1/12</t>
  </si>
  <si>
    <t xml:space="preserve">Средство для чистки изделий из металла 250мл Золушка1/24</t>
  </si>
  <si>
    <t xml:space="preserve">Klinin Чистящее средство-спрей 500 мл для ванных комнат, без ароматизаторов и красителей 1/6 ЧЗ</t>
  </si>
  <si>
    <t xml:space="preserve">✓ ВЫБРАНО: Klinin KLORIITTI FORTE 5 л Дезинфицирующее средство для очистки овощей,фруктов, зелени 1/3 ЧЗ</t>
  </si>
  <si>
    <t xml:space="preserve">Grass Deso C9  600мл дезинфицирующее средство спиртовое(70%) для рук и поверхностей триггер 1/8 ЧЗ</t>
  </si>
  <si>
    <t xml:space="preserve">К/ Blutoxol 1л Универсальное дезинфицирующее средство для пищевых производств, концентрат 1/6 KIEHL</t>
  </si>
  <si>
    <t xml:space="preserve">Дезинфицирующее средство- кожный антисептик Изасептик 5л 1/3 ЧЗ</t>
  </si>
  <si>
    <t xml:space="preserve">Klinin F-262 IPASEPT 10л Дезинфицирующее средство для пищевой промышленности 1/1</t>
  </si>
  <si>
    <t xml:space="preserve">Klinin F-26 Boxan 20л Дезинфицирующее сильнощелочное средство для мойки транспортной тары 1/1</t>
  </si>
  <si>
    <t xml:space="preserve">Klinin ANTIBACT FORTE 5л дезинфицирующее ср-во с моющим эффектом для кухонных поверхностей  1/3 ЧЗ</t>
  </si>
  <si>
    <t xml:space="preserve">Klinin Antibact Forte 1 л  дезинфицирующее ср-во с моющим эффектом для кухонных поверхностей 1/12 ЧЗ</t>
  </si>
  <si>
    <t xml:space="preserve">К/ Powerfix 10л Кислотное средство для глубокой чистки 1/1 KIEHL ЧЗ</t>
  </si>
  <si>
    <t xml:space="preserve">✓ ВЫБРАНО: AVUAR H-15 5л средство для стекол и зеркал  1/4 ЧЗ</t>
  </si>
  <si>
    <t xml:space="preserve">Grass Oris Средство для очистки стекол и зеркал 600мл  1/8 ЧЗ</t>
  </si>
  <si>
    <t xml:space="preserve">АиС D203-R Средство для стекол и зеркал 5л 1/4 ЧЗ</t>
  </si>
  <si>
    <t xml:space="preserve">AVUAR H-15 0,5л средство для стекол и зеркал 1/20 ЧЗ</t>
  </si>
  <si>
    <t xml:space="preserve">DOLPHIN Crystal  5л средство для мытья стекол и зеркал 1/3 ЧЗ</t>
  </si>
  <si>
    <t xml:space="preserve">DOLPHIN Crystal 10л средство для мытья стекол и зеркал 1/1 ЧЗ</t>
  </si>
  <si>
    <t xml:space="preserve">DOLPHIN Crystal 1л средство для мытья стекол и зеркал 1/12 ЧЗ</t>
  </si>
  <si>
    <t xml:space="preserve">АиС D203 Средство для стекол и зеркал (концентрат) 1л 1/12</t>
  </si>
  <si>
    <t xml:space="preserve">✓ ВЫБРАНО: Салфетка микроволоконная (микрофибра) 290х290 мм 190 г/м2 ЗЕЛЕНАЯ без упаковки "NN" 1/50</t>
  </si>
  <si>
    <t xml:space="preserve">Салфетки из микрофибры  4шт 30х30см Practi микрофибра универсальные 1/36  Paclan</t>
  </si>
  <si>
    <t xml:space="preserve">TASKI JM Ultra cloth салфетка микрофибра желтая, размер 32 x 32 см 1/20</t>
  </si>
  <si>
    <t xml:space="preserve">✓ ВЫБРАНО: Ведро с отжимом VILEDA УльтраСпин Мини 10л (комплект для уборки с красным отжимом) 1/10</t>
  </si>
  <si>
    <t xml:space="preserve">Набор №6 Год с КомбиСпид Про (комплект инвентаря для уборки)  1/1  VILEDA</t>
  </si>
  <si>
    <t xml:space="preserve">Набор №4 Год с УльтраСпид Про (комплект инвентаря для уборки) 1/1  VILEDA</t>
  </si>
  <si>
    <t xml:space="preserve">Набор Дебют VILEDA  со Свеп Про (стартовый комплект для уборки ) 1/1</t>
  </si>
  <si>
    <t xml:space="preserve">Ведро с отжимом VILEDA УльтраСпин Мини 10л (комплект для уборки с синим отжимом) 1/10</t>
  </si>
  <si>
    <t xml:space="preserve">Набор №2 Выгодный старт  УльтраСпид Про (комплект инвентаря для уборки ) 1/1 VILEDA   ЧЗ</t>
  </si>
  <si>
    <t xml:space="preserve">Набор №5 "Выгодный старт с КомбиСпид Про" (комплект инвентаря для уборки) 1/1  VILEDA  ЧЗ</t>
  </si>
  <si>
    <t xml:space="preserve">Набор №3 Необходимый минимум с УльтраСпид Про (комплект инвентаря для уборки)  1/1 VILEDA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</si>
</sst>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;\(#,##0.00&quot; ₽)&quot;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C6" s="4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2" t="s">
        <v>7</v>
      </c>
      <c r="B9" s="6" t="n">
        <v>0</v>
      </c>
    </row>
    <row r="10" customFormat="false" ht="15" hidden="false" customHeight="false" outlineLevel="0" collapsed="false">
      <c r="A10" s="2" t="s">
        <v>8</v>
      </c>
      <c r="B10" s="7" t="n">
        <v>0</v>
      </c>
    </row>
    <row r="11" customFormat="false" ht="15" hidden="false" customHeight="false" outlineLevel="0" collapsed="false">
      <c r="A11" s="2" t="s">
        <v>9</v>
      </c>
      <c r="B11" s="7" t="n">
        <v>0</v>
      </c>
    </row>
    <row r="12" customFormat="false" ht="15" hidden="false" customHeight="false" outlineLevel="0" collapsed="false">
      <c r="A12" s="2" t="s">
        <v>10</v>
      </c>
      <c r="B12" s="8" t="n">
        <v>2</v>
      </c>
    </row>
    <row r="13" customFormat="false" ht="15" hidden="false" customHeight="false" outlineLevel="0" collapsed="false">
      <c r="A13" s="2" t="s">
        <v>11</v>
      </c>
      <c r="B13" s="8" t="n">
        <v>36</v>
      </c>
    </row>
    <row r="15" customFormat="false" ht="15" hidden="false" customHeight="false" outlineLevel="0" collapsed="false">
      <c r="A15" s="5" t="s">
        <v>12</v>
      </c>
      <c r="B15" s="9" t="n">
        <f aca="false">B9*B12*B13</f>
        <v>0</v>
      </c>
    </row>
    <row r="17" customFormat="false" ht="15" hidden="false" customHeight="false" outlineLevel="0" collapsed="false">
      <c r="A17" s="5" t="s">
        <v>13</v>
      </c>
    </row>
    <row r="18" customFormat="false" ht="26.85" hidden="false" customHeight="false" outlineLevel="0" collapsed="false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18</v>
      </c>
      <c r="F18" s="10" t="s">
        <v>19</v>
      </c>
      <c r="G18" s="10" t="s">
        <v>20</v>
      </c>
      <c r="H18" s="10" t="s">
        <v>21</v>
      </c>
      <c r="I18" s="10" t="s">
        <v>22</v>
      </c>
      <c r="J18" s="10" t="s">
        <v>23</v>
      </c>
    </row>
    <row r="19" customFormat="false" ht="15" hidden="false" customHeight="false" outlineLevel="0" collapsed="false">
      <c r="A19" s="7" t="s">
        <v>24</v>
      </c>
      <c r="B19" s="7" t="n">
        <v>742</v>
      </c>
      <c r="C19" s="7" t="s">
        <v>25</v>
      </c>
      <c r="D19" s="7" t="s">
        <v>26</v>
      </c>
      <c r="E19" s="7" t="s">
        <v>27</v>
      </c>
      <c r="F19" s="11" t="n">
        <v>59.41</v>
      </c>
      <c r="G19" s="7" t="n">
        <v>75</v>
      </c>
      <c r="H19" s="11" t="n">
        <f aca="false">G19*F19</f>
        <v>4455.75</v>
      </c>
      <c r="I19" s="7" t="n">
        <v>0.9</v>
      </c>
      <c r="J19" s="7" t="s">
        <v>28</v>
      </c>
    </row>
    <row r="20" customFormat="false" ht="15" hidden="false" customHeight="false" outlineLevel="0" collapsed="false">
      <c r="A20" s="7" t="s">
        <v>29</v>
      </c>
      <c r="B20" s="7" t="n">
        <v>29680</v>
      </c>
      <c r="C20" s="7" t="s">
        <v>25</v>
      </c>
      <c r="D20" s="7" t="s">
        <v>30</v>
      </c>
      <c r="E20" s="7" t="s">
        <v>31</v>
      </c>
      <c r="F20" s="11" t="n">
        <v>35.24</v>
      </c>
      <c r="G20" s="7" t="n">
        <v>990</v>
      </c>
      <c r="H20" s="11" t="n">
        <f aca="false">G20*F20</f>
        <v>34887.6</v>
      </c>
      <c r="I20" s="7" t="n">
        <v>0.88</v>
      </c>
      <c r="J20" s="7" t="s">
        <v>28</v>
      </c>
    </row>
    <row r="21" customFormat="false" ht="15" hidden="false" customHeight="false" outlineLevel="0" collapsed="false">
      <c r="A21" s="12" t="s">
        <v>32</v>
      </c>
      <c r="B21" s="12" t="n">
        <v>3719.6</v>
      </c>
      <c r="C21" s="12" t="s">
        <v>33</v>
      </c>
      <c r="D21" s="12" t="s">
        <v>34</v>
      </c>
      <c r="E21" s="12" t="s">
        <v>27</v>
      </c>
      <c r="F21" s="13" t="n">
        <v>95.57</v>
      </c>
      <c r="G21" s="12" t="n">
        <v>3720</v>
      </c>
      <c r="H21" s="13" t="n">
        <f aca="false">G21*F21</f>
        <v>355520.4</v>
      </c>
      <c r="I21" s="12" t="n">
        <v>0.71</v>
      </c>
      <c r="J21" s="12" t="s">
        <v>35</v>
      </c>
    </row>
    <row r="22" customFormat="false" ht="15" hidden="false" customHeight="false" outlineLevel="0" collapsed="false">
      <c r="A22" s="12" t="s">
        <v>36</v>
      </c>
      <c r="B22" s="12" t="n">
        <v>416.6</v>
      </c>
      <c r="C22" s="12" t="s">
        <v>33</v>
      </c>
      <c r="D22" s="12" t="s">
        <v>37</v>
      </c>
      <c r="E22" s="12" t="s">
        <v>27</v>
      </c>
      <c r="F22" s="13" t="n">
        <v>475.41</v>
      </c>
      <c r="G22" s="12" t="n">
        <v>84</v>
      </c>
      <c r="H22" s="13" t="n">
        <f aca="false">G22*F22</f>
        <v>39934.44</v>
      </c>
      <c r="I22" s="12" t="n">
        <v>0.71</v>
      </c>
      <c r="J22" s="12" t="s">
        <v>38</v>
      </c>
    </row>
    <row r="23" customFormat="false" ht="15" hidden="false" customHeight="false" outlineLevel="0" collapsed="false">
      <c r="A23" s="12" t="s">
        <v>39</v>
      </c>
      <c r="B23" s="12" t="n">
        <v>312.5</v>
      </c>
      <c r="C23" s="12" t="s">
        <v>33</v>
      </c>
      <c r="D23" s="12" t="s">
        <v>40</v>
      </c>
      <c r="E23" s="12" t="s">
        <v>27</v>
      </c>
      <c r="F23" s="13" t="n">
        <v>68.7</v>
      </c>
      <c r="G23" s="12" t="n">
        <v>625</v>
      </c>
      <c r="H23" s="13" t="n">
        <f aca="false">G23*F23</f>
        <v>42937.5</v>
      </c>
      <c r="I23" s="12" t="n">
        <v>0.71</v>
      </c>
      <c r="J23" s="12" t="s">
        <v>41</v>
      </c>
    </row>
    <row r="24" customFormat="false" ht="15" hidden="false" customHeight="false" outlineLevel="0" collapsed="false">
      <c r="A24" s="12" t="s">
        <v>42</v>
      </c>
      <c r="B24" s="12" t="n">
        <v>445.2</v>
      </c>
      <c r="C24" s="12" t="s">
        <v>33</v>
      </c>
      <c r="D24" s="12" t="s">
        <v>43</v>
      </c>
      <c r="E24" s="12" t="s">
        <v>27</v>
      </c>
      <c r="F24" s="13" t="n">
        <v>1423.38</v>
      </c>
      <c r="G24" s="12" t="n">
        <v>90</v>
      </c>
      <c r="H24" s="13" t="n">
        <f aca="false">G24*F24</f>
        <v>128104.2</v>
      </c>
      <c r="I24" s="12" t="n">
        <v>0.73</v>
      </c>
      <c r="J24" s="12" t="s">
        <v>41</v>
      </c>
    </row>
    <row r="25" customFormat="false" ht="15" hidden="false" customHeight="false" outlineLevel="0" collapsed="false">
      <c r="A25" s="12" t="s">
        <v>44</v>
      </c>
      <c r="B25" s="12" t="n">
        <v>2231.8</v>
      </c>
      <c r="C25" s="12" t="s">
        <v>33</v>
      </c>
      <c r="D25" s="12" t="s">
        <v>37</v>
      </c>
      <c r="E25" s="12" t="s">
        <v>27</v>
      </c>
      <c r="F25" s="13" t="n">
        <v>475.41</v>
      </c>
      <c r="G25" s="12" t="n">
        <v>447</v>
      </c>
      <c r="H25" s="13" t="n">
        <f aca="false">G25*F25</f>
        <v>212508.27</v>
      </c>
      <c r="I25" s="12" t="n">
        <v>0.74</v>
      </c>
      <c r="J25" s="12" t="s">
        <v>41</v>
      </c>
    </row>
    <row r="26" customFormat="false" ht="15" hidden="false" customHeight="false" outlineLevel="0" collapsed="false">
      <c r="A26" s="12" t="s">
        <v>45</v>
      </c>
      <c r="B26" s="12" t="n">
        <v>72</v>
      </c>
      <c r="C26" s="12" t="s">
        <v>33</v>
      </c>
      <c r="D26" s="12" t="s">
        <v>37</v>
      </c>
      <c r="E26" s="12" t="s">
        <v>27</v>
      </c>
      <c r="F26" s="13" t="n">
        <v>475.41</v>
      </c>
      <c r="G26" s="12" t="n">
        <v>15</v>
      </c>
      <c r="H26" s="13" t="n">
        <f aca="false">G26*F26</f>
        <v>7131.15</v>
      </c>
      <c r="I26" s="12" t="n">
        <v>0.71</v>
      </c>
      <c r="J26" s="12" t="s">
        <v>41</v>
      </c>
    </row>
    <row r="27" customFormat="false" ht="15" hidden="false" customHeight="false" outlineLevel="0" collapsed="false">
      <c r="A27" s="7" t="s">
        <v>46</v>
      </c>
      <c r="B27" s="7" t="n">
        <v>54</v>
      </c>
      <c r="C27" s="7" t="s">
        <v>33</v>
      </c>
      <c r="D27" s="7" t="s">
        <v>47</v>
      </c>
      <c r="E27" s="7" t="s">
        <v>27</v>
      </c>
      <c r="F27" s="11" t="n">
        <v>361.89</v>
      </c>
      <c r="G27" s="7" t="n">
        <v>11</v>
      </c>
      <c r="H27" s="11" t="n">
        <f aca="false">G27*F27</f>
        <v>3980.79</v>
      </c>
      <c r="I27" s="7" t="n">
        <v>0.82</v>
      </c>
      <c r="J27" s="7" t="s">
        <v>28</v>
      </c>
    </row>
    <row r="28" customFormat="false" ht="15" hidden="false" customHeight="false" outlineLevel="0" collapsed="false">
      <c r="A28" s="12" t="s">
        <v>48</v>
      </c>
      <c r="B28" s="12" t="n">
        <v>312</v>
      </c>
      <c r="C28" s="12" t="s">
        <v>25</v>
      </c>
      <c r="D28" s="12" t="s">
        <v>49</v>
      </c>
      <c r="E28" s="12" t="s">
        <v>31</v>
      </c>
      <c r="F28" s="13" t="n">
        <v>18.94</v>
      </c>
      <c r="G28" s="12" t="n">
        <v>312</v>
      </c>
      <c r="H28" s="13" t="n">
        <f aca="false">G28*F28</f>
        <v>5909.28</v>
      </c>
      <c r="I28" s="12" t="n">
        <v>0.87</v>
      </c>
      <c r="J28" s="12" t="s">
        <v>50</v>
      </c>
    </row>
    <row r="29" customFormat="false" ht="15" hidden="false" customHeight="false" outlineLevel="0" collapsed="false">
      <c r="A29" s="12" t="s">
        <v>51</v>
      </c>
      <c r="B29" s="12" t="n">
        <v>3</v>
      </c>
      <c r="C29" s="12" t="s">
        <v>25</v>
      </c>
      <c r="D29" s="12" t="s">
        <v>52</v>
      </c>
      <c r="E29" s="12" t="s">
        <v>27</v>
      </c>
      <c r="F29" s="13" t="n">
        <v>6986.23</v>
      </c>
      <c r="G29" s="12" t="n">
        <v>3</v>
      </c>
      <c r="H29" s="13" t="n">
        <f aca="false">G29*F29</f>
        <v>20958.69</v>
      </c>
      <c r="I29" s="12" t="n">
        <v>0.65</v>
      </c>
      <c r="J29" s="12" t="s">
        <v>53</v>
      </c>
    </row>
    <row r="31" customFormat="false" ht="15" hidden="false" customHeight="false" outlineLevel="0" collapsed="false">
      <c r="A31" s="5" t="s">
        <v>54</v>
      </c>
      <c r="H31" s="9" t="n">
        <f aca="false">SUM(H19:H29)</f>
        <v>856328.07</v>
      </c>
    </row>
    <row r="33" customFormat="false" ht="15" hidden="false" customHeight="false" outlineLevel="0" collapsed="false">
      <c r="A33" s="5" t="s">
        <v>55</v>
      </c>
    </row>
    <row r="34" customFormat="false" ht="15" hidden="false" customHeight="false" outlineLevel="0" collapsed="false">
      <c r="A34" s="0" t="s">
        <v>56</v>
      </c>
      <c r="B34" s="14" t="n">
        <v>0.2</v>
      </c>
    </row>
    <row r="36" customFormat="false" ht="15" hidden="false" customHeight="false" outlineLevel="0" collapsed="false">
      <c r="A36" s="5" t="s">
        <v>57</v>
      </c>
      <c r="B36" s="15" t="n">
        <f aca="false">B15+H31</f>
        <v>856328.07</v>
      </c>
    </row>
    <row r="37" customFormat="false" ht="16.15" hidden="false" customHeight="false" outlineLevel="0" collapsed="false">
      <c r="A37" s="16" t="s">
        <v>58</v>
      </c>
      <c r="B37" s="17" t="n">
        <f aca="false">B36*(1+B34)</f>
        <v>1027593.684</v>
      </c>
    </row>
    <row r="39" customFormat="false" ht="15" hidden="false" customHeight="false" outlineLevel="0" collapsed="false">
      <c r="A39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0" t="s">
        <v>14</v>
      </c>
      <c r="B1" s="10" t="s">
        <v>60</v>
      </c>
      <c r="C1" s="10" t="s">
        <v>18</v>
      </c>
      <c r="D1" s="10" t="s">
        <v>61</v>
      </c>
    </row>
    <row r="2" customFormat="false" ht="15" hidden="false" customHeight="false" outlineLevel="0" collapsed="false">
      <c r="A2" s="19" t="s">
        <v>24</v>
      </c>
    </row>
    <row r="3" customFormat="false" ht="15" hidden="false" customHeight="false" outlineLevel="0" collapsed="false">
      <c r="A3" s="7"/>
      <c r="B3" s="7" t="s">
        <v>62</v>
      </c>
      <c r="C3" s="7" t="s">
        <v>27</v>
      </c>
      <c r="D3" s="11" t="n">
        <v>59.41</v>
      </c>
    </row>
    <row r="4" customFormat="false" ht="15" hidden="false" customHeight="false" outlineLevel="0" collapsed="false">
      <c r="A4" s="7"/>
      <c r="B4" s="7" t="s">
        <v>63</v>
      </c>
      <c r="C4" s="7" t="s">
        <v>27</v>
      </c>
      <c r="D4" s="11" t="n">
        <v>96.43</v>
      </c>
    </row>
    <row r="5" customFormat="false" ht="15" hidden="false" customHeight="false" outlineLevel="0" collapsed="false">
      <c r="A5" s="7"/>
      <c r="B5" s="7" t="s">
        <v>64</v>
      </c>
      <c r="C5" s="7" t="s">
        <v>27</v>
      </c>
      <c r="D5" s="11" t="n">
        <v>125.95</v>
      </c>
    </row>
    <row r="6" customFormat="false" ht="15" hidden="false" customHeight="false" outlineLevel="0" collapsed="false">
      <c r="A6" s="7"/>
      <c r="B6" s="7" t="s">
        <v>65</v>
      </c>
      <c r="C6" s="7" t="s">
        <v>27</v>
      </c>
      <c r="D6" s="11" t="n">
        <v>127.65</v>
      </c>
    </row>
    <row r="7" customFormat="false" ht="15" hidden="false" customHeight="false" outlineLevel="0" collapsed="false">
      <c r="A7" s="7"/>
      <c r="B7" s="7" t="s">
        <v>66</v>
      </c>
      <c r="C7" s="7" t="s">
        <v>27</v>
      </c>
      <c r="D7" s="11" t="n">
        <v>327.52</v>
      </c>
    </row>
    <row r="8" customFormat="false" ht="15" hidden="false" customHeight="false" outlineLevel="0" collapsed="false">
      <c r="A8" s="7"/>
      <c r="B8" s="7" t="s">
        <v>67</v>
      </c>
      <c r="C8" s="7" t="s">
        <v>27</v>
      </c>
      <c r="D8" s="11" t="n">
        <v>281.23</v>
      </c>
    </row>
    <row r="9" customFormat="false" ht="15" hidden="false" customHeight="false" outlineLevel="0" collapsed="false">
      <c r="A9" s="7"/>
      <c r="B9" s="7" t="s">
        <v>68</v>
      </c>
      <c r="C9" s="7" t="s">
        <v>27</v>
      </c>
      <c r="D9" s="11" t="n">
        <v>767.85</v>
      </c>
    </row>
    <row r="10" customFormat="false" ht="15" hidden="false" customHeight="false" outlineLevel="0" collapsed="false">
      <c r="A10" s="7"/>
      <c r="B10" s="7" t="s">
        <v>69</v>
      </c>
      <c r="C10" s="7" t="s">
        <v>27</v>
      </c>
      <c r="D10" s="11" t="n">
        <v>369.51</v>
      </c>
    </row>
    <row r="12" customFormat="false" ht="15" hidden="false" customHeight="false" outlineLevel="0" collapsed="false">
      <c r="A12" s="19" t="s">
        <v>29</v>
      </c>
    </row>
    <row r="13" customFormat="false" ht="15" hidden="false" customHeight="false" outlineLevel="0" collapsed="false">
      <c r="A13" s="7"/>
      <c r="B13" s="7" t="s">
        <v>70</v>
      </c>
      <c r="C13" s="7" t="s">
        <v>31</v>
      </c>
      <c r="D13" s="11" t="n">
        <v>35.24</v>
      </c>
    </row>
    <row r="14" customFormat="false" ht="15" hidden="false" customHeight="false" outlineLevel="0" collapsed="false">
      <c r="A14" s="7"/>
      <c r="B14" s="7" t="s">
        <v>71</v>
      </c>
      <c r="C14" s="7" t="s">
        <v>27</v>
      </c>
      <c r="D14" s="11" t="n">
        <v>98.75</v>
      </c>
    </row>
    <row r="15" customFormat="false" ht="15" hidden="false" customHeight="false" outlineLevel="0" collapsed="false">
      <c r="A15" s="7"/>
      <c r="B15" s="7" t="s">
        <v>72</v>
      </c>
      <c r="C15" s="7" t="s">
        <v>27</v>
      </c>
      <c r="D15" s="11" t="n">
        <v>50.75</v>
      </c>
    </row>
    <row r="16" customFormat="false" ht="15" hidden="false" customHeight="false" outlineLevel="0" collapsed="false">
      <c r="A16" s="7"/>
      <c r="B16" s="7" t="s">
        <v>73</v>
      </c>
      <c r="C16" s="7" t="s">
        <v>27</v>
      </c>
      <c r="D16" s="11" t="n">
        <v>104.88</v>
      </c>
    </row>
    <row r="17" customFormat="false" ht="15" hidden="false" customHeight="false" outlineLevel="0" collapsed="false">
      <c r="A17" s="7"/>
      <c r="B17" s="7" t="s">
        <v>74</v>
      </c>
      <c r="C17" s="7" t="s">
        <v>27</v>
      </c>
      <c r="D17" s="11" t="n">
        <v>28.56</v>
      </c>
    </row>
    <row r="18" customFormat="false" ht="15" hidden="false" customHeight="false" outlineLevel="0" collapsed="false">
      <c r="A18" s="7"/>
      <c r="B18" s="7" t="s">
        <v>75</v>
      </c>
      <c r="C18" s="7" t="s">
        <v>27</v>
      </c>
      <c r="D18" s="11" t="n">
        <v>82.75</v>
      </c>
    </row>
    <row r="19" customFormat="false" ht="15" hidden="false" customHeight="false" outlineLevel="0" collapsed="false">
      <c r="A19" s="7"/>
      <c r="B19" s="7" t="s">
        <v>76</v>
      </c>
      <c r="C19" s="7" t="s">
        <v>27</v>
      </c>
      <c r="D19" s="11" t="n">
        <v>93.38</v>
      </c>
    </row>
    <row r="20" customFormat="false" ht="15" hidden="false" customHeight="false" outlineLevel="0" collapsed="false">
      <c r="A20" s="7"/>
      <c r="B20" s="7" t="s">
        <v>77</v>
      </c>
      <c r="C20" s="7" t="s">
        <v>27</v>
      </c>
      <c r="D20" s="11" t="n">
        <v>28.56</v>
      </c>
    </row>
    <row r="22" customFormat="false" ht="15" hidden="false" customHeight="false" outlineLevel="0" collapsed="false">
      <c r="A22" s="19" t="s">
        <v>32</v>
      </c>
    </row>
    <row r="23" customFormat="false" ht="15" hidden="false" customHeight="false" outlineLevel="0" collapsed="false">
      <c r="A23" s="7"/>
      <c r="B23" s="7" t="s">
        <v>78</v>
      </c>
      <c r="C23" s="7" t="s">
        <v>27</v>
      </c>
      <c r="D23" s="11" t="n">
        <v>95.57</v>
      </c>
    </row>
    <row r="24" customFormat="false" ht="15" hidden="false" customHeight="false" outlineLevel="0" collapsed="false">
      <c r="A24" s="7"/>
      <c r="B24" s="7" t="s">
        <v>79</v>
      </c>
      <c r="C24" s="7" t="s">
        <v>27</v>
      </c>
      <c r="D24" s="11" t="n">
        <v>246.79</v>
      </c>
    </row>
    <row r="25" customFormat="false" ht="15" hidden="false" customHeight="false" outlineLevel="0" collapsed="false">
      <c r="A25" s="7"/>
      <c r="B25" s="7" t="s">
        <v>80</v>
      </c>
      <c r="C25" s="7" t="s">
        <v>27</v>
      </c>
      <c r="D25" s="11" t="n">
        <v>614</v>
      </c>
    </row>
    <row r="26" customFormat="false" ht="15" hidden="false" customHeight="false" outlineLevel="0" collapsed="false">
      <c r="A26" s="7"/>
      <c r="B26" s="7" t="s">
        <v>81</v>
      </c>
      <c r="C26" s="7" t="s">
        <v>27</v>
      </c>
      <c r="D26" s="11" t="n">
        <v>140.39</v>
      </c>
    </row>
    <row r="27" customFormat="false" ht="15" hidden="false" customHeight="false" outlineLevel="0" collapsed="false">
      <c r="A27" s="7"/>
      <c r="B27" s="7" t="s">
        <v>82</v>
      </c>
      <c r="C27" s="7" t="s">
        <v>27</v>
      </c>
      <c r="D27" s="11" t="n">
        <v>304.11</v>
      </c>
    </row>
    <row r="28" customFormat="false" ht="15" hidden="false" customHeight="false" outlineLevel="0" collapsed="false">
      <c r="A28" s="7"/>
      <c r="B28" s="7" t="s">
        <v>83</v>
      </c>
      <c r="C28" s="7" t="s">
        <v>27</v>
      </c>
      <c r="D28" s="11" t="n">
        <v>132.59</v>
      </c>
    </row>
    <row r="30" customFormat="false" ht="15" hidden="false" customHeight="false" outlineLevel="0" collapsed="false">
      <c r="A30" s="19" t="s">
        <v>36</v>
      </c>
    </row>
    <row r="31" customFormat="false" ht="15" hidden="false" customHeight="false" outlineLevel="0" collapsed="false">
      <c r="A31" s="7"/>
      <c r="B31" s="7" t="s">
        <v>84</v>
      </c>
      <c r="C31" s="7" t="s">
        <v>27</v>
      </c>
      <c r="D31" s="11" t="n">
        <v>475.41</v>
      </c>
    </row>
    <row r="32" customFormat="false" ht="15" hidden="false" customHeight="false" outlineLevel="0" collapsed="false">
      <c r="A32" s="7"/>
      <c r="B32" s="7" t="s">
        <v>85</v>
      </c>
      <c r="C32" s="7" t="s">
        <v>27</v>
      </c>
      <c r="D32" s="11" t="n">
        <v>90.49</v>
      </c>
    </row>
    <row r="33" customFormat="false" ht="15" hidden="false" customHeight="false" outlineLevel="0" collapsed="false">
      <c r="A33" s="7"/>
      <c r="B33" s="7" t="s">
        <v>86</v>
      </c>
      <c r="C33" s="7" t="s">
        <v>27</v>
      </c>
      <c r="D33" s="11" t="n">
        <v>204</v>
      </c>
    </row>
    <row r="34" customFormat="false" ht="15" hidden="false" customHeight="false" outlineLevel="0" collapsed="false">
      <c r="A34" s="7"/>
      <c r="B34" s="7" t="s">
        <v>87</v>
      </c>
      <c r="C34" s="7" t="s">
        <v>27</v>
      </c>
      <c r="D34" s="11" t="n">
        <v>102.8</v>
      </c>
    </row>
    <row r="35" customFormat="false" ht="15" hidden="false" customHeight="false" outlineLevel="0" collapsed="false">
      <c r="A35" s="7"/>
      <c r="B35" s="7" t="s">
        <v>88</v>
      </c>
      <c r="C35" s="7" t="s">
        <v>27</v>
      </c>
      <c r="D35" s="11" t="n">
        <v>4125</v>
      </c>
    </row>
    <row r="36" customFormat="false" ht="15" hidden="false" customHeight="false" outlineLevel="0" collapsed="false">
      <c r="A36" s="7"/>
      <c r="B36" s="7" t="s">
        <v>89</v>
      </c>
      <c r="C36" s="7" t="s">
        <v>27</v>
      </c>
      <c r="D36" s="11" t="n">
        <v>1443.75</v>
      </c>
    </row>
    <row r="37" customFormat="false" ht="15" hidden="false" customHeight="false" outlineLevel="0" collapsed="false">
      <c r="A37" s="7"/>
      <c r="B37" s="7" t="s">
        <v>90</v>
      </c>
      <c r="C37" s="7" t="s">
        <v>27</v>
      </c>
      <c r="D37" s="11" t="n">
        <v>220.31</v>
      </c>
    </row>
    <row r="39" customFormat="false" ht="15" hidden="false" customHeight="false" outlineLevel="0" collapsed="false">
      <c r="A39" s="19" t="s">
        <v>39</v>
      </c>
    </row>
    <row r="40" customFormat="false" ht="15" hidden="false" customHeight="false" outlineLevel="0" collapsed="false">
      <c r="A40" s="7"/>
      <c r="B40" s="7" t="s">
        <v>91</v>
      </c>
      <c r="C40" s="7" t="s">
        <v>27</v>
      </c>
      <c r="D40" s="11" t="n">
        <v>68.7</v>
      </c>
    </row>
    <row r="41" customFormat="false" ht="15" hidden="false" customHeight="false" outlineLevel="0" collapsed="false">
      <c r="A41" s="7"/>
      <c r="B41" s="7" t="s">
        <v>92</v>
      </c>
      <c r="C41" s="7" t="s">
        <v>27</v>
      </c>
      <c r="D41" s="11" t="n">
        <v>1329.84</v>
      </c>
    </row>
    <row r="42" customFormat="false" ht="15" hidden="false" customHeight="false" outlineLevel="0" collapsed="false">
      <c r="A42" s="7"/>
      <c r="B42" s="7" t="s">
        <v>93</v>
      </c>
      <c r="C42" s="7" t="s">
        <v>31</v>
      </c>
      <c r="D42" s="11" t="n">
        <v>173.51</v>
      </c>
    </row>
    <row r="43" customFormat="false" ht="15" hidden="false" customHeight="false" outlineLevel="0" collapsed="false">
      <c r="A43" s="7"/>
      <c r="B43" s="7" t="s">
        <v>94</v>
      </c>
      <c r="C43" s="7" t="s">
        <v>31</v>
      </c>
      <c r="D43" s="11" t="n">
        <v>106.62</v>
      </c>
    </row>
    <row r="44" customFormat="false" ht="15" hidden="false" customHeight="false" outlineLevel="0" collapsed="false">
      <c r="A44" s="7"/>
      <c r="B44" s="7" t="s">
        <v>86</v>
      </c>
      <c r="C44" s="7" t="s">
        <v>27</v>
      </c>
      <c r="D44" s="11" t="n">
        <v>204</v>
      </c>
    </row>
    <row r="45" customFormat="false" ht="15" hidden="false" customHeight="false" outlineLevel="0" collapsed="false">
      <c r="A45" s="7"/>
      <c r="B45" s="7" t="s">
        <v>85</v>
      </c>
      <c r="C45" s="7" t="s">
        <v>27</v>
      </c>
      <c r="D45" s="11" t="n">
        <v>90.49</v>
      </c>
    </row>
    <row r="46" customFormat="false" ht="15" hidden="false" customHeight="false" outlineLevel="0" collapsed="false">
      <c r="A46" s="7"/>
      <c r="B46" s="7" t="s">
        <v>95</v>
      </c>
      <c r="C46" s="7" t="s">
        <v>27</v>
      </c>
      <c r="D46" s="11" t="n">
        <v>57.24</v>
      </c>
    </row>
    <row r="47" customFormat="false" ht="15" hidden="false" customHeight="false" outlineLevel="0" collapsed="false">
      <c r="A47" s="7"/>
      <c r="B47" s="7" t="s">
        <v>96</v>
      </c>
      <c r="C47" s="7" t="s">
        <v>27</v>
      </c>
      <c r="D47" s="11" t="n">
        <v>320.4</v>
      </c>
    </row>
    <row r="49" customFormat="false" ht="15" hidden="false" customHeight="false" outlineLevel="0" collapsed="false">
      <c r="A49" s="19" t="s">
        <v>42</v>
      </c>
    </row>
    <row r="50" customFormat="false" ht="15" hidden="false" customHeight="false" outlineLevel="0" collapsed="false">
      <c r="A50" s="7"/>
      <c r="B50" s="7" t="s">
        <v>97</v>
      </c>
      <c r="C50" s="7" t="s">
        <v>27</v>
      </c>
      <c r="D50" s="11" t="n">
        <v>1423.38</v>
      </c>
    </row>
    <row r="51" customFormat="false" ht="15" hidden="false" customHeight="false" outlineLevel="0" collapsed="false">
      <c r="A51" s="7"/>
      <c r="B51" s="7" t="s">
        <v>98</v>
      </c>
      <c r="C51" s="7" t="s">
        <v>27</v>
      </c>
      <c r="D51" s="11" t="n">
        <v>195.49</v>
      </c>
    </row>
    <row r="52" customFormat="false" ht="15" hidden="false" customHeight="false" outlineLevel="0" collapsed="false">
      <c r="A52" s="7"/>
      <c r="B52" s="7" t="s">
        <v>99</v>
      </c>
      <c r="C52" s="7" t="s">
        <v>27</v>
      </c>
      <c r="D52" s="11" t="n">
        <v>309.38</v>
      </c>
    </row>
    <row r="53" customFormat="false" ht="15" hidden="false" customHeight="false" outlineLevel="0" collapsed="false">
      <c r="A53" s="7"/>
      <c r="B53" s="7" t="s">
        <v>100</v>
      </c>
      <c r="C53" s="7" t="s">
        <v>27</v>
      </c>
      <c r="D53" s="11" t="n">
        <v>1524</v>
      </c>
    </row>
    <row r="54" customFormat="false" ht="15" hidden="false" customHeight="false" outlineLevel="0" collapsed="false">
      <c r="A54" s="7"/>
      <c r="B54" s="7" t="s">
        <v>101</v>
      </c>
      <c r="C54" s="7" t="s">
        <v>27</v>
      </c>
      <c r="D54" s="11" t="n">
        <v>6259.58</v>
      </c>
    </row>
    <row r="55" customFormat="false" ht="15" hidden="false" customHeight="false" outlineLevel="0" collapsed="false">
      <c r="A55" s="7"/>
      <c r="B55" s="7" t="s">
        <v>102</v>
      </c>
      <c r="C55" s="7" t="s">
        <v>27</v>
      </c>
      <c r="D55" s="11" t="n">
        <v>7415.43</v>
      </c>
    </row>
    <row r="56" customFormat="false" ht="15" hidden="false" customHeight="false" outlineLevel="0" collapsed="false">
      <c r="A56" s="7"/>
      <c r="B56" s="7" t="s">
        <v>103</v>
      </c>
      <c r="C56" s="7" t="s">
        <v>27</v>
      </c>
      <c r="D56" s="11" t="n">
        <v>2927.85</v>
      </c>
    </row>
    <row r="57" customFormat="false" ht="15" hidden="false" customHeight="false" outlineLevel="0" collapsed="false">
      <c r="A57" s="7"/>
      <c r="B57" s="7" t="s">
        <v>104</v>
      </c>
      <c r="C57" s="7" t="s">
        <v>27</v>
      </c>
      <c r="D57" s="11" t="n">
        <v>607.36</v>
      </c>
    </row>
    <row r="59" customFormat="false" ht="15" hidden="false" customHeight="false" outlineLevel="0" collapsed="false">
      <c r="A59" s="19" t="s">
        <v>44</v>
      </c>
    </row>
    <row r="60" customFormat="false" ht="15" hidden="false" customHeight="false" outlineLevel="0" collapsed="false">
      <c r="A60" s="7"/>
      <c r="B60" s="7" t="s">
        <v>84</v>
      </c>
      <c r="C60" s="7" t="s">
        <v>27</v>
      </c>
      <c r="D60" s="11" t="n">
        <v>475.41</v>
      </c>
    </row>
    <row r="61" customFormat="false" ht="15" hidden="false" customHeight="false" outlineLevel="0" collapsed="false">
      <c r="A61" s="7"/>
      <c r="B61" s="7" t="s">
        <v>85</v>
      </c>
      <c r="C61" s="7" t="s">
        <v>27</v>
      </c>
      <c r="D61" s="11" t="n">
        <v>90.49</v>
      </c>
    </row>
    <row r="62" customFormat="false" ht="15" hidden="false" customHeight="false" outlineLevel="0" collapsed="false">
      <c r="A62" s="7"/>
      <c r="B62" s="7" t="s">
        <v>92</v>
      </c>
      <c r="C62" s="7" t="s">
        <v>27</v>
      </c>
      <c r="D62" s="11" t="n">
        <v>1329.84</v>
      </c>
    </row>
    <row r="63" customFormat="false" ht="15" hidden="false" customHeight="false" outlineLevel="0" collapsed="false">
      <c r="A63" s="7"/>
      <c r="B63" s="7" t="s">
        <v>87</v>
      </c>
      <c r="C63" s="7" t="s">
        <v>27</v>
      </c>
      <c r="D63" s="11" t="n">
        <v>102.8</v>
      </c>
    </row>
    <row r="64" customFormat="false" ht="15" hidden="false" customHeight="false" outlineLevel="0" collapsed="false">
      <c r="A64" s="7"/>
      <c r="B64" s="7" t="s">
        <v>90</v>
      </c>
      <c r="C64" s="7" t="s">
        <v>27</v>
      </c>
      <c r="D64" s="11" t="n">
        <v>220.31</v>
      </c>
    </row>
    <row r="65" customFormat="false" ht="15" hidden="false" customHeight="false" outlineLevel="0" collapsed="false">
      <c r="A65" s="7"/>
      <c r="B65" s="7" t="s">
        <v>86</v>
      </c>
      <c r="C65" s="7" t="s">
        <v>27</v>
      </c>
      <c r="D65" s="11" t="n">
        <v>204</v>
      </c>
    </row>
    <row r="66" customFormat="false" ht="15" hidden="false" customHeight="false" outlineLevel="0" collapsed="false">
      <c r="A66" s="7"/>
      <c r="B66" s="7" t="s">
        <v>88</v>
      </c>
      <c r="C66" s="7" t="s">
        <v>27</v>
      </c>
      <c r="D66" s="11" t="n">
        <v>4125</v>
      </c>
    </row>
    <row r="67" customFormat="false" ht="15" hidden="false" customHeight="false" outlineLevel="0" collapsed="false">
      <c r="A67" s="7"/>
      <c r="B67" s="7" t="s">
        <v>89</v>
      </c>
      <c r="C67" s="7" t="s">
        <v>27</v>
      </c>
      <c r="D67" s="11" t="n">
        <v>1443.75</v>
      </c>
    </row>
    <row r="69" customFormat="false" ht="15" hidden="false" customHeight="false" outlineLevel="0" collapsed="false">
      <c r="A69" s="19" t="s">
        <v>45</v>
      </c>
    </row>
    <row r="70" customFormat="false" ht="15" hidden="false" customHeight="false" outlineLevel="0" collapsed="false">
      <c r="A70" s="7"/>
      <c r="B70" s="7" t="s">
        <v>84</v>
      </c>
      <c r="C70" s="7" t="s">
        <v>27</v>
      </c>
      <c r="D70" s="11" t="n">
        <v>475.41</v>
      </c>
    </row>
    <row r="71" customFormat="false" ht="15" hidden="false" customHeight="false" outlineLevel="0" collapsed="false">
      <c r="A71" s="7"/>
      <c r="B71" s="7" t="s">
        <v>86</v>
      </c>
      <c r="C71" s="7" t="s">
        <v>27</v>
      </c>
      <c r="D71" s="11" t="n">
        <v>204</v>
      </c>
    </row>
    <row r="72" customFormat="false" ht="15" hidden="false" customHeight="false" outlineLevel="0" collapsed="false">
      <c r="A72" s="7"/>
      <c r="B72" s="7" t="s">
        <v>85</v>
      </c>
      <c r="C72" s="7" t="s">
        <v>27</v>
      </c>
      <c r="D72" s="11" t="n">
        <v>90.49</v>
      </c>
    </row>
    <row r="73" customFormat="false" ht="15" hidden="false" customHeight="false" outlineLevel="0" collapsed="false">
      <c r="A73" s="7"/>
      <c r="B73" s="7" t="s">
        <v>90</v>
      </c>
      <c r="C73" s="7" t="s">
        <v>27</v>
      </c>
      <c r="D73" s="11" t="n">
        <v>220.31</v>
      </c>
    </row>
    <row r="74" customFormat="false" ht="15" hidden="false" customHeight="false" outlineLevel="0" collapsed="false">
      <c r="A74" s="7"/>
      <c r="B74" s="7" t="s">
        <v>92</v>
      </c>
      <c r="C74" s="7" t="s">
        <v>27</v>
      </c>
      <c r="D74" s="11" t="n">
        <v>1329.84</v>
      </c>
    </row>
    <row r="75" customFormat="false" ht="15" hidden="false" customHeight="false" outlineLevel="0" collapsed="false">
      <c r="A75" s="7"/>
      <c r="B75" s="7" t="s">
        <v>87</v>
      </c>
      <c r="C75" s="7" t="s">
        <v>27</v>
      </c>
      <c r="D75" s="11" t="n">
        <v>102.8</v>
      </c>
    </row>
    <row r="76" customFormat="false" ht="15" hidden="false" customHeight="false" outlineLevel="0" collapsed="false">
      <c r="A76" s="7"/>
      <c r="B76" s="7" t="s">
        <v>105</v>
      </c>
      <c r="C76" s="7" t="s">
        <v>27</v>
      </c>
      <c r="D76" s="11" t="n">
        <v>7425</v>
      </c>
    </row>
    <row r="77" customFormat="false" ht="15" hidden="false" customHeight="false" outlineLevel="0" collapsed="false">
      <c r="A77" s="7"/>
      <c r="B77" s="7" t="s">
        <v>88</v>
      </c>
      <c r="C77" s="7" t="s">
        <v>27</v>
      </c>
      <c r="D77" s="11" t="n">
        <v>4125</v>
      </c>
    </row>
    <row r="79" customFormat="false" ht="15" hidden="false" customHeight="false" outlineLevel="0" collapsed="false">
      <c r="A79" s="19" t="s">
        <v>46</v>
      </c>
    </row>
    <row r="80" customFormat="false" ht="15" hidden="false" customHeight="false" outlineLevel="0" collapsed="false">
      <c r="A80" s="7"/>
      <c r="B80" s="7" t="s">
        <v>106</v>
      </c>
      <c r="C80" s="7" t="s">
        <v>27</v>
      </c>
      <c r="D80" s="11" t="n">
        <v>361.89</v>
      </c>
    </row>
    <row r="81" customFormat="false" ht="15" hidden="false" customHeight="false" outlineLevel="0" collapsed="false">
      <c r="A81" s="7"/>
      <c r="B81" s="7" t="s">
        <v>107</v>
      </c>
      <c r="C81" s="7" t="s">
        <v>27</v>
      </c>
      <c r="D81" s="11" t="n">
        <v>67.81</v>
      </c>
    </row>
    <row r="82" customFormat="false" ht="15" hidden="false" customHeight="false" outlineLevel="0" collapsed="false">
      <c r="A82" s="7"/>
      <c r="B82" s="7" t="s">
        <v>108</v>
      </c>
      <c r="C82" s="7" t="s">
        <v>27</v>
      </c>
      <c r="D82" s="11" t="n">
        <v>381.5</v>
      </c>
    </row>
    <row r="83" customFormat="false" ht="15" hidden="false" customHeight="false" outlineLevel="0" collapsed="false">
      <c r="A83" s="7"/>
      <c r="B83" s="7" t="s">
        <v>109</v>
      </c>
      <c r="C83" s="7" t="s">
        <v>27</v>
      </c>
      <c r="D83" s="11" t="n">
        <v>172.95</v>
      </c>
    </row>
    <row r="84" customFormat="false" ht="15" hidden="false" customHeight="false" outlineLevel="0" collapsed="false">
      <c r="A84" s="7"/>
      <c r="B84" s="7" t="s">
        <v>110</v>
      </c>
      <c r="C84" s="7" t="s">
        <v>27</v>
      </c>
      <c r="D84" s="11" t="n">
        <v>523.14</v>
      </c>
    </row>
    <row r="85" customFormat="false" ht="15" hidden="false" customHeight="false" outlineLevel="0" collapsed="false">
      <c r="A85" s="7"/>
      <c r="B85" s="7" t="s">
        <v>111</v>
      </c>
      <c r="C85" s="7" t="s">
        <v>27</v>
      </c>
      <c r="D85" s="11" t="n">
        <v>921.09</v>
      </c>
    </row>
    <row r="86" customFormat="false" ht="15" hidden="false" customHeight="false" outlineLevel="0" collapsed="false">
      <c r="A86" s="7"/>
      <c r="B86" s="7" t="s">
        <v>112</v>
      </c>
      <c r="C86" s="7" t="s">
        <v>27</v>
      </c>
      <c r="D86" s="11" t="n">
        <v>145.62</v>
      </c>
    </row>
    <row r="87" customFormat="false" ht="15" hidden="false" customHeight="false" outlineLevel="0" collapsed="false">
      <c r="A87" s="7"/>
      <c r="B87" s="7" t="s">
        <v>113</v>
      </c>
      <c r="C87" s="7" t="s">
        <v>27</v>
      </c>
      <c r="D87" s="11" t="n">
        <v>193.99</v>
      </c>
    </row>
    <row r="89" customFormat="false" ht="15" hidden="false" customHeight="false" outlineLevel="0" collapsed="false">
      <c r="A89" s="19" t="s">
        <v>48</v>
      </c>
    </row>
    <row r="90" customFormat="false" ht="15" hidden="false" customHeight="false" outlineLevel="0" collapsed="false">
      <c r="A90" s="7"/>
      <c r="B90" s="7" t="s">
        <v>114</v>
      </c>
      <c r="C90" s="7" t="s">
        <v>31</v>
      </c>
      <c r="D90" s="11" t="n">
        <v>18.94</v>
      </c>
    </row>
    <row r="91" customFormat="false" ht="15" hidden="false" customHeight="false" outlineLevel="0" collapsed="false">
      <c r="A91" s="7"/>
      <c r="B91" s="7" t="s">
        <v>115</v>
      </c>
      <c r="C91" s="7" t="s">
        <v>27</v>
      </c>
      <c r="D91" s="11" t="n">
        <v>152.93</v>
      </c>
    </row>
    <row r="92" customFormat="false" ht="15" hidden="false" customHeight="false" outlineLevel="0" collapsed="false">
      <c r="A92" s="7"/>
      <c r="B92" s="7" t="s">
        <v>116</v>
      </c>
      <c r="C92" s="7" t="s">
        <v>27</v>
      </c>
      <c r="D92" s="11" t="n">
        <v>327.09</v>
      </c>
    </row>
    <row r="94" customFormat="false" ht="15" hidden="false" customHeight="false" outlineLevel="0" collapsed="false">
      <c r="A94" s="19" t="s">
        <v>51</v>
      </c>
    </row>
    <row r="95" customFormat="false" ht="15" hidden="false" customHeight="false" outlineLevel="0" collapsed="false">
      <c r="A95" s="7"/>
      <c r="B95" s="7" t="s">
        <v>117</v>
      </c>
      <c r="C95" s="7" t="s">
        <v>27</v>
      </c>
      <c r="D95" s="11" t="n">
        <v>6986.23</v>
      </c>
    </row>
    <row r="96" customFormat="false" ht="15" hidden="false" customHeight="false" outlineLevel="0" collapsed="false">
      <c r="A96" s="7"/>
      <c r="B96" s="7" t="s">
        <v>118</v>
      </c>
      <c r="C96" s="7" t="s">
        <v>27</v>
      </c>
      <c r="D96" s="11" t="n">
        <v>7631.63</v>
      </c>
    </row>
    <row r="97" customFormat="false" ht="15" hidden="false" customHeight="false" outlineLevel="0" collapsed="false">
      <c r="A97" s="7"/>
      <c r="B97" s="7" t="s">
        <v>119</v>
      </c>
      <c r="C97" s="7" t="s">
        <v>27</v>
      </c>
      <c r="D97" s="11" t="n">
        <v>7294.68</v>
      </c>
    </row>
    <row r="98" customFormat="false" ht="15" hidden="false" customHeight="false" outlineLevel="0" collapsed="false">
      <c r="A98" s="7"/>
      <c r="B98" s="7" t="s">
        <v>120</v>
      </c>
      <c r="C98" s="7" t="s">
        <v>27</v>
      </c>
      <c r="D98" s="11" t="n">
        <v>80253.3</v>
      </c>
    </row>
    <row r="99" customFormat="false" ht="15" hidden="false" customHeight="false" outlineLevel="0" collapsed="false">
      <c r="A99" s="7"/>
      <c r="B99" s="7" t="s">
        <v>121</v>
      </c>
      <c r="C99" s="7" t="s">
        <v>27</v>
      </c>
      <c r="D99" s="11" t="n">
        <v>6986.23</v>
      </c>
    </row>
    <row r="100" customFormat="false" ht="15" hidden="false" customHeight="false" outlineLevel="0" collapsed="false">
      <c r="A100" s="7"/>
      <c r="B100" s="7" t="s">
        <v>122</v>
      </c>
      <c r="C100" s="7" t="s">
        <v>27</v>
      </c>
      <c r="D100" s="11" t="n">
        <v>23121.26</v>
      </c>
    </row>
    <row r="101" customFormat="false" ht="15" hidden="false" customHeight="false" outlineLevel="0" collapsed="false">
      <c r="A101" s="7"/>
      <c r="B101" s="7" t="s">
        <v>123</v>
      </c>
      <c r="C101" s="7" t="s">
        <v>27</v>
      </c>
      <c r="D101" s="11" t="n">
        <v>21980.12</v>
      </c>
    </row>
    <row r="102" customFormat="false" ht="15" hidden="false" customHeight="false" outlineLevel="0" collapsed="false">
      <c r="A102" s="7"/>
      <c r="B102" s="7" t="s">
        <v>124</v>
      </c>
      <c r="C102" s="7" t="s">
        <v>27</v>
      </c>
      <c r="D102" s="11" t="n">
        <v>19267.56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2026-09-17T12:42:00Z</dcterms:created>
  <dc:creator>openpyxl</dc:creator>
  <dc:description/>
  <dc:language>en-US</dc:language>
  <cp:lastModifiedBy/>
  <dcterms:modified xsi:type="dcterms:W3CDTF">2026-09-17T12:42:00Z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