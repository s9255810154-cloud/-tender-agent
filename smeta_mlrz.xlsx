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<sst xmlns="http://schemas.openxmlformats.org/spreadsheetml/2006/main" count="67" uniqueCount="57">
  <si>
    <t xml:space="preserve">Смета — АО «Московский ЛРЗ» (Договор №2025.223692)</t>
  </si>
  <si>
    <t xml:space="preserve">Дата: 2026-09-23 | Цена — РЕАЛЬНАЯ из Приложения №1, не оценка</t>
  </si>
  <si>
    <t xml:space="preserve">Жёлтые ячейки — допущения</t>
  </si>
  <si>
    <t xml:space="preserve">1. Срок контракта</t>
  </si>
  <si>
    <t xml:space="preserve">Срок оказания услуг, мес (01.10.2025-30.09.2026)</t>
  </si>
  <si>
    <t xml:space="preserve">Площадь всего, м² (помещения + территория)</t>
  </si>
  <si>
    <t xml:space="preserve">2. Цена — реальные поединичные расценки (Приложение №1)</t>
  </si>
  <si>
    <t xml:space="preserve">Вид помещения</t>
  </si>
  <si>
    <t xml:space="preserve">Площадь, м²</t>
  </si>
  <si>
    <t xml:space="preserve">Ставка ₽/м²/мес (без НДС)</t>
  </si>
  <si>
    <t xml:space="preserve">Сумма/мес, ₽</t>
  </si>
  <si>
    <t xml:space="preserve">Административные помещения</t>
  </si>
  <si>
    <t xml:space="preserve">Производственные помещения</t>
  </si>
  <si>
    <t xml:space="preserve">Складские помещения</t>
  </si>
  <si>
    <t xml:space="preserve">Территория</t>
  </si>
  <si>
    <t xml:space="preserve">ЦЕНА В МЕСЯЦ (без НДС)</t>
  </si>
  <si>
    <t xml:space="preserve">ЦЕНА В МЕСЯЦ (с НДС 5%)</t>
  </si>
  <si>
    <t xml:space="preserve">ЦЕНА В ГОД (с НДС)</t>
  </si>
  <si>
    <t xml:space="preserve">3. Численность и ФОТ — РЕАЛЬНЫЙ табель объекта</t>
  </si>
  <si>
    <t xml:space="preserve">ФОТ, ₽/мес (сумма по реальному табелю — 18 позиций, разные оклады по сменам)</t>
  </si>
  <si>
    <t xml:space="preserve">ФОТ-надбавка 30,2% (обязательна)</t>
  </si>
  <si>
    <t xml:space="preserve">Справочно: наша прежняя оценка (11 чел. × ЕМИСС) была 870 992 ₽ — разошлась всего на 0,11%, хотя реальная структура другая (18 позиций по сменам, не 11 человек по одной ставке).</t>
  </si>
  <si>
    <t xml:space="preserve">4. Расходные материалы (наша база, справочно — не входит в цену выше, она уже финальна)</t>
  </si>
  <si>
    <t xml:space="preserve">Материал</t>
  </si>
  <si>
    <t xml:space="preserve">Найдено в прайсе</t>
  </si>
  <si>
    <t xml:space="preserve">Поставщик</t>
  </si>
  <si>
    <t xml:space="preserve">Упаковок</t>
  </si>
  <si>
    <t xml:space="preserve">Цена/уп, ₽</t>
  </si>
  <si>
    <t xml:space="preserve">Пакеты для мусора — крупные (для транс (26 шт)</t>
  </si>
  <si>
    <t xml:space="preserve">Мешки для мусора 35 л 20 ш (c0.67)</t>
  </si>
  <si>
    <t xml:space="preserve">ТК Сервис</t>
  </si>
  <si>
    <t xml:space="preserve">Пакеты для мусора — мелкие (для внутре (13475.43 шт)</t>
  </si>
  <si>
    <t xml:space="preserve">Мешки для мусора с тесьмой (c0.66)</t>
  </si>
  <si>
    <t xml:space="preserve">Чистящее средство для унитаза (188.66 л)</t>
  </si>
  <si>
    <t xml:space="preserve">Effect ALFA 106  5л чистящ (c0.76)</t>
  </si>
  <si>
    <t xml:space="preserve">Чистящее средство для сантехники (141.5 л)</t>
  </si>
  <si>
    <t xml:space="preserve">Effect ALFA 106  5л чистящ (c0.71)</t>
  </si>
  <si>
    <t xml:space="preserve">Дезинфицирующее средство для твёрдых п (38.87 л)</t>
  </si>
  <si>
    <t xml:space="preserve">Klinin KLORIITTI FORTE 5 л (c0.73)</t>
  </si>
  <si>
    <t xml:space="preserve">Чистящее средство для интерьера (1010.69 л)</t>
  </si>
  <si>
    <t xml:space="preserve">Effect ALFA 106  5л чистящ (c0.74)</t>
  </si>
  <si>
    <t xml:space="preserve">Чистящее средство для оргтехники (0.29 л)</t>
  </si>
  <si>
    <t xml:space="preserve">Средство для мойки стёкол и зеркал (0.21 л)</t>
  </si>
  <si>
    <t xml:space="preserve">AVUAR H-15 5л средство для (c0.82)</t>
  </si>
  <si>
    <t xml:space="preserve">Салфетки универсальные (микрофибра) (48 шт)</t>
  </si>
  <si>
    <t xml:space="preserve">Салфетка микроволоконная ( (c0.87)</t>
  </si>
  <si>
    <t xml:space="preserve">Альмин Провижн Сервис</t>
  </si>
  <si>
    <t xml:space="preserve">Моющее средство для полов — МЕХАНИЗИРО (707.5 л)</t>
  </si>
  <si>
    <t xml:space="preserve">АиС D202 Моющее средство д (c0.74)</t>
  </si>
  <si>
    <t xml:space="preserve">ИТОГО материалы/мес (наша модель, сверена по ₽/м² с реальными данными Краун)</t>
  </si>
  <si>
    <t xml:space="preserve">Площадь для норм взята только по помещениям (90 702 м²) — территория считается отдельно, здесь не включена.</t>
  </si>
  <si>
    <t xml:space="preserve">5. Сверка себестоимости с реальной ценой</t>
  </si>
  <si>
    <t xml:space="preserve">ИТОГО себестоимость (реальный ФОТ+надбавка+наши материалы)</t>
  </si>
  <si>
    <t xml:space="preserve">Реальная цена (без НДС)</t>
  </si>
  <si>
    <t xml:space="preserve">Маржа (накладные+прибыль)</t>
  </si>
  <si>
    <t xml:space="preserve">Маржа, %</t>
  </si>
  <si>
    <t xml:space="preserve">ФОТ теперь реальный (подтверждён табелем, расхождение с прежней оценкой — 0,11%). Маржа получилась тонкой (~2%) — проверка по ₽/м² (сверка с реальными данными Краун, 2.50-4.17 руб/м²/мес) показала, что наша модель материалов НЕ завышена, попадает в реальный диапазон. Похоже, тонкая маржа отражает реальную структуру этого конкретного контракта (конкурентная закупка), а не ошибку модели. Есть также реальный счёт на материалы по одной зоне доставки объекта (40 514 руб) — но масштаб этой зоны относительно всего завода неизвестен, использовать для уточнения общей оценки пока нельзя.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</si>
</sst>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₽&quot;;\(#,##0.00&quot; ₽)&quot;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  <c r="B7" s="5" t="n">
        <v>12</v>
      </c>
    </row>
    <row r="8" customFormat="false" ht="15" hidden="false" customHeight="false" outlineLevel="0" collapsed="false">
      <c r="A8" s="5" t="s">
        <v>5</v>
      </c>
      <c r="B8" s="5" t="n">
        <v>105927</v>
      </c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6" t="s">
        <v>7</v>
      </c>
      <c r="B11" s="6" t="s">
        <v>8</v>
      </c>
      <c r="C11" s="6" t="s">
        <v>9</v>
      </c>
      <c r="D11" s="6" t="s">
        <v>10</v>
      </c>
    </row>
    <row r="12" customFormat="false" ht="15" hidden="false" customHeight="false" outlineLevel="0" collapsed="false">
      <c r="A12" s="5" t="s">
        <v>11</v>
      </c>
      <c r="B12" s="5" t="n">
        <v>8764</v>
      </c>
      <c r="C12" s="7" t="n">
        <v>14.67</v>
      </c>
      <c r="D12" s="7" t="n">
        <f aca="false">B12*C12</f>
        <v>128567.88</v>
      </c>
    </row>
    <row r="13" customFormat="false" ht="15" hidden="false" customHeight="false" outlineLevel="0" collapsed="false">
      <c r="A13" s="5" t="s">
        <v>12</v>
      </c>
      <c r="B13" s="5" t="n">
        <v>79460</v>
      </c>
      <c r="C13" s="7" t="n">
        <v>14.89</v>
      </c>
      <c r="D13" s="7" t="n">
        <f aca="false">B13*C13</f>
        <v>1183159.4</v>
      </c>
    </row>
    <row r="14" customFormat="false" ht="15" hidden="false" customHeight="false" outlineLevel="0" collapsed="false">
      <c r="A14" s="5" t="s">
        <v>13</v>
      </c>
      <c r="B14" s="5" t="n">
        <v>2478</v>
      </c>
      <c r="C14" s="7" t="n">
        <v>14.8</v>
      </c>
      <c r="D14" s="7" t="n">
        <f aca="false">B14*C14</f>
        <v>36674.4</v>
      </c>
    </row>
    <row r="15" customFormat="false" ht="15" hidden="false" customHeight="false" outlineLevel="0" collapsed="false">
      <c r="A15" s="5" t="s">
        <v>14</v>
      </c>
      <c r="B15" s="5" t="n">
        <v>15225</v>
      </c>
      <c r="C15" s="7" t="n">
        <v>7.31</v>
      </c>
      <c r="D15" s="7" t="n">
        <f aca="false">B15*C15</f>
        <v>111294.75</v>
      </c>
    </row>
    <row r="16" customFormat="false" ht="16.15" hidden="false" customHeight="false" outlineLevel="0" collapsed="false">
      <c r="A16" s="8" t="s">
        <v>15</v>
      </c>
      <c r="D16" s="9" t="n">
        <f aca="false">SUM(D12:D15)</f>
        <v>1459696.43</v>
      </c>
    </row>
    <row r="17" customFormat="false" ht="16.15" hidden="false" customHeight="false" outlineLevel="0" collapsed="false">
      <c r="A17" s="8" t="s">
        <v>16</v>
      </c>
      <c r="D17" s="9" t="n">
        <f aca="false">D16*1.05</f>
        <v>1532681.2515</v>
      </c>
    </row>
    <row r="18" customFormat="false" ht="16.15" hidden="false" customHeight="false" outlineLevel="0" collapsed="false">
      <c r="A18" s="8" t="s">
        <v>17</v>
      </c>
      <c r="D18" s="9" t="n">
        <f aca="false">D17*12</f>
        <v>18392175.018</v>
      </c>
    </row>
    <row r="20" customFormat="false" ht="15" hidden="false" customHeight="false" outlineLevel="0" collapsed="false">
      <c r="A20" s="4" t="s">
        <v>18</v>
      </c>
    </row>
    <row r="21" customFormat="false" ht="15" hidden="false" customHeight="false" outlineLevel="0" collapsed="false">
      <c r="A21" s="5" t="s">
        <v>19</v>
      </c>
      <c r="B21" s="7" t="n">
        <v>870000</v>
      </c>
    </row>
    <row r="22" customFormat="false" ht="15" hidden="false" customHeight="false" outlineLevel="0" collapsed="false">
      <c r="A22" s="5" t="s">
        <v>20</v>
      </c>
      <c r="B22" s="7" t="n">
        <f aca="false">B21*0.302</f>
        <v>262740</v>
      </c>
    </row>
    <row r="23" customFormat="false" ht="15" hidden="false" customHeight="false" outlineLevel="0" collapsed="false">
      <c r="A23" s="10" t="s">
        <v>21</v>
      </c>
      <c r="B23" s="5"/>
    </row>
    <row r="25" customFormat="false" ht="15" hidden="false" customHeight="false" outlineLevel="0" collapsed="false">
      <c r="A25" s="4" t="s">
        <v>22</v>
      </c>
    </row>
    <row r="26" customFormat="false" ht="15" hidden="false" customHeight="false" outlineLevel="0" collapsed="false">
      <c r="A26" s="6" t="s">
        <v>23</v>
      </c>
      <c r="B26" s="6" t="s">
        <v>24</v>
      </c>
      <c r="C26" s="6" t="s">
        <v>25</v>
      </c>
      <c r="D26" s="6" t="s">
        <v>26</v>
      </c>
      <c r="E26" s="6" t="s">
        <v>27</v>
      </c>
      <c r="F26" s="6" t="s">
        <v>10</v>
      </c>
    </row>
    <row r="27" customFormat="false" ht="15" hidden="false" customHeight="false" outlineLevel="0" collapsed="false">
      <c r="A27" s="5" t="s">
        <v>28</v>
      </c>
      <c r="B27" s="11" t="s">
        <v>29</v>
      </c>
      <c r="C27" s="11" t="s">
        <v>30</v>
      </c>
      <c r="D27" s="11" t="n">
        <v>2</v>
      </c>
      <c r="E27" s="12" t="n">
        <v>67.68</v>
      </c>
      <c r="F27" s="12" t="n">
        <f aca="false">D27*E27</f>
        <v>135.36</v>
      </c>
    </row>
    <row r="28" customFormat="false" ht="15" hidden="false" customHeight="false" outlineLevel="0" collapsed="false">
      <c r="A28" s="5" t="s">
        <v>31</v>
      </c>
      <c r="B28" s="11" t="s">
        <v>32</v>
      </c>
      <c r="C28" s="11" t="s">
        <v>30</v>
      </c>
      <c r="D28" s="11" t="n">
        <v>674</v>
      </c>
      <c r="E28" s="12" t="n">
        <v>104.88</v>
      </c>
      <c r="F28" s="12" t="n">
        <f aca="false">D28*E28</f>
        <v>70689.12</v>
      </c>
    </row>
    <row r="29" customFormat="false" ht="15" hidden="false" customHeight="false" outlineLevel="0" collapsed="false">
      <c r="A29" s="5" t="s">
        <v>33</v>
      </c>
      <c r="B29" s="11" t="s">
        <v>34</v>
      </c>
      <c r="C29" s="11" t="s">
        <v>30</v>
      </c>
      <c r="D29" s="11" t="n">
        <v>38</v>
      </c>
      <c r="E29" s="12" t="n">
        <v>475.41</v>
      </c>
      <c r="F29" s="12" t="n">
        <f aca="false">D29*E29</f>
        <v>18065.58</v>
      </c>
    </row>
    <row r="30" customFormat="false" ht="15" hidden="false" customHeight="false" outlineLevel="0" collapsed="false">
      <c r="A30" s="5" t="s">
        <v>35</v>
      </c>
      <c r="B30" s="11" t="s">
        <v>36</v>
      </c>
      <c r="C30" s="11" t="s">
        <v>30</v>
      </c>
      <c r="D30" s="11" t="n">
        <v>29</v>
      </c>
      <c r="E30" s="12" t="n">
        <v>475.41</v>
      </c>
      <c r="F30" s="12" t="n">
        <f aca="false">D30*E30</f>
        <v>13786.89</v>
      </c>
    </row>
    <row r="31" customFormat="false" ht="15" hidden="false" customHeight="false" outlineLevel="0" collapsed="false">
      <c r="A31" s="5" t="s">
        <v>37</v>
      </c>
      <c r="B31" s="11" t="s">
        <v>38</v>
      </c>
      <c r="C31" s="11" t="s">
        <v>30</v>
      </c>
      <c r="D31" s="11" t="n">
        <v>8</v>
      </c>
      <c r="E31" s="12" t="n">
        <v>1423.38</v>
      </c>
      <c r="F31" s="12" t="n">
        <f aca="false">D31*E31</f>
        <v>11387.04</v>
      </c>
    </row>
    <row r="32" customFormat="false" ht="15" hidden="false" customHeight="false" outlineLevel="0" collapsed="false">
      <c r="A32" s="5" t="s">
        <v>39</v>
      </c>
      <c r="B32" s="11" t="s">
        <v>40</v>
      </c>
      <c r="C32" s="11" t="s">
        <v>30</v>
      </c>
      <c r="D32" s="11" t="n">
        <v>203</v>
      </c>
      <c r="E32" s="12" t="n">
        <v>475.41</v>
      </c>
      <c r="F32" s="12" t="n">
        <f aca="false">D32*E32</f>
        <v>96508.23</v>
      </c>
    </row>
    <row r="33" customFormat="false" ht="15" hidden="false" customHeight="false" outlineLevel="0" collapsed="false">
      <c r="A33" s="5" t="s">
        <v>41</v>
      </c>
      <c r="B33" s="11" t="s">
        <v>36</v>
      </c>
      <c r="C33" s="11" t="s">
        <v>30</v>
      </c>
      <c r="D33" s="11" t="n">
        <v>1</v>
      </c>
      <c r="E33" s="12" t="n">
        <v>475.41</v>
      </c>
      <c r="F33" s="12" t="n">
        <f aca="false">D33*E33</f>
        <v>475.41</v>
      </c>
    </row>
    <row r="34" customFormat="false" ht="15" hidden="false" customHeight="false" outlineLevel="0" collapsed="false">
      <c r="A34" s="5" t="s">
        <v>42</v>
      </c>
      <c r="B34" s="11" t="s">
        <v>43</v>
      </c>
      <c r="C34" s="11" t="s">
        <v>30</v>
      </c>
      <c r="D34" s="11" t="n">
        <v>1</v>
      </c>
      <c r="E34" s="12" t="n">
        <v>361.89</v>
      </c>
      <c r="F34" s="12" t="n">
        <f aca="false">D34*E34</f>
        <v>361.89</v>
      </c>
    </row>
    <row r="35" customFormat="false" ht="15" hidden="false" customHeight="false" outlineLevel="0" collapsed="false">
      <c r="A35" s="5" t="s">
        <v>44</v>
      </c>
      <c r="B35" s="11" t="s">
        <v>45</v>
      </c>
      <c r="C35" s="11" t="s">
        <v>46</v>
      </c>
      <c r="D35" s="11" t="n">
        <v>48</v>
      </c>
      <c r="E35" s="12" t="n">
        <v>18.94</v>
      </c>
      <c r="F35" s="12" t="n">
        <f aca="false">D35*E35</f>
        <v>909.12</v>
      </c>
    </row>
    <row r="36" customFormat="false" ht="15" hidden="false" customHeight="false" outlineLevel="0" collapsed="false">
      <c r="A36" s="5" t="s">
        <v>47</v>
      </c>
      <c r="B36" s="11" t="s">
        <v>48</v>
      </c>
      <c r="C36" s="11" t="s">
        <v>30</v>
      </c>
      <c r="D36" s="11" t="n">
        <v>142</v>
      </c>
      <c r="E36" s="12" t="n">
        <v>614</v>
      </c>
      <c r="F36" s="12" t="n">
        <f aca="false">D36*E36</f>
        <v>87188</v>
      </c>
    </row>
    <row r="37" customFormat="false" ht="15" hidden="false" customHeight="false" outlineLevel="0" collapsed="false">
      <c r="A37" s="13" t="s">
        <v>49</v>
      </c>
      <c r="F37" s="14" t="n">
        <f aca="false">SUM(F27:F36)</f>
        <v>299506.64</v>
      </c>
    </row>
    <row r="38" customFormat="false" ht="15" hidden="false" customHeight="false" outlineLevel="0" collapsed="false">
      <c r="A38" s="15" t="s">
        <v>50</v>
      </c>
      <c r="B38" s="15"/>
      <c r="C38" s="15"/>
      <c r="D38" s="15"/>
      <c r="E38" s="15"/>
      <c r="F38" s="15"/>
    </row>
    <row r="40" customFormat="false" ht="15" hidden="false" customHeight="false" outlineLevel="0" collapsed="false">
      <c r="A40" s="4" t="s">
        <v>51</v>
      </c>
    </row>
    <row r="41" customFormat="false" ht="16.15" hidden="false" customHeight="false" outlineLevel="0" collapsed="false">
      <c r="A41" s="8" t="s">
        <v>52</v>
      </c>
      <c r="B41" s="9" t="n">
        <f aca="false">B21+B22+F37</f>
        <v>1432246.64</v>
      </c>
    </row>
    <row r="42" customFormat="false" ht="15" hidden="false" customHeight="false" outlineLevel="0" collapsed="false">
      <c r="A42" s="0" t="s">
        <v>53</v>
      </c>
      <c r="B42" s="16" t="n">
        <f aca="false">D16</f>
        <v>1459696.43</v>
      </c>
    </row>
    <row r="43" customFormat="false" ht="15" hidden="false" customHeight="false" outlineLevel="0" collapsed="false">
      <c r="A43" s="13" t="s">
        <v>54</v>
      </c>
      <c r="B43" s="14" t="n">
        <f aca="false">D16-B41</f>
        <v>27449.79</v>
      </c>
    </row>
    <row r="44" customFormat="false" ht="15" hidden="false" customHeight="false" outlineLevel="0" collapsed="false">
      <c r="A44" s="0" t="s">
        <v>55</v>
      </c>
      <c r="B44" s="17" t="n">
        <f aca="false">(D16-B41)/D16</f>
        <v>0.0188051360788764</v>
      </c>
    </row>
    <row r="45" customFormat="false" ht="15" hidden="false" customHeight="false" outlineLevel="0" collapsed="false">
      <c r="A45" s="15" t="s">
        <v>56</v>
      </c>
      <c r="B45" s="15"/>
      <c r="C45" s="15"/>
      <c r="D45" s="15"/>
      <c r="E45" s="15"/>
      <c r="F45" s="15"/>
    </row>
  </sheetData>
  <mergeCells count="2">
    <mergeCell ref="A38:F38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2026-09-23T10:44:41Z</dcterms:created>
  <dc:creator>openpyxl</dc:creator>
  <dc:description/>
  <dc:language>en-US</dc:language>
  <cp:lastModifiedBy/>
  <dcterms:modified xsi:type="dcterms:W3CDTF">2026-09-23T10:44:42Z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